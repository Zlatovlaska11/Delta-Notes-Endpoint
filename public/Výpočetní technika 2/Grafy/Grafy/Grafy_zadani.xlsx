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eltassie-my.sharepoint.com/personal/votaga_delta-skola_cz/Documents/DATA/INFORMATIKA/Excel/DELTA nove/Grafy/"/>
    </mc:Choice>
  </mc:AlternateContent>
  <xr:revisionPtr revIDLastSave="3" documentId="11_B9D89AC18D08D532E3CA6EBEC488C2F39EC80464" xr6:coauthVersionLast="47" xr6:coauthVersionMax="47" xr10:uidLastSave="{02588CFC-E0FE-40CB-B710-A581EBFAD4C7}"/>
  <bookViews>
    <workbookView xWindow="-110" yWindow="-110" windowWidth="19420" windowHeight="10420" xr2:uid="{00000000-000D-0000-FFFF-FFFF00000000}"/>
  </bookViews>
  <sheets>
    <sheet name="Výsečový graf" sheetId="2" r:id="rId1"/>
    <sheet name="Spojnicový graf" sheetId="3" r:id="rId2"/>
    <sheet name="2D Sloupcový graf" sheetId="4" r:id="rId3"/>
    <sheet name="3D sloupcový graf" sheetId="5" r:id="rId4"/>
    <sheet name="Bublinový graf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5" l="1"/>
  <c r="D14" i="5"/>
  <c r="C14" i="5"/>
  <c r="F13" i="5"/>
  <c r="F14" i="5" s="1"/>
  <c r="F12" i="5"/>
  <c r="F11" i="5"/>
  <c r="F10" i="5"/>
  <c r="C15" i="4"/>
  <c r="D7" i="4" s="1"/>
  <c r="D15" i="4" s="1"/>
  <c r="E7" i="4" s="1"/>
  <c r="E15" i="4" s="1"/>
  <c r="F7" i="4" s="1"/>
  <c r="F15" i="4" s="1"/>
  <c r="G7" i="4" s="1"/>
  <c r="G15" i="4" s="1"/>
  <c r="H7" i="4" s="1"/>
  <c r="H15" i="4" s="1"/>
  <c r="I7" i="4" s="1"/>
  <c r="I15" i="4" s="1"/>
  <c r="J7" i="4" s="1"/>
  <c r="J15" i="4" s="1"/>
  <c r="K7" i="4" s="1"/>
  <c r="K15" i="4" s="1"/>
  <c r="L7" i="4" s="1"/>
  <c r="L15" i="4" s="1"/>
  <c r="M7" i="4" s="1"/>
  <c r="M15" i="4" s="1"/>
  <c r="N7" i="4" s="1"/>
  <c r="N15" i="4" s="1"/>
  <c r="O14" i="4"/>
  <c r="O13" i="4"/>
  <c r="O12" i="4"/>
  <c r="O11" i="4"/>
  <c r="O10" i="4"/>
  <c r="O9" i="4"/>
  <c r="O8" i="4"/>
  <c r="C14" i="3"/>
  <c r="D6" i="3" s="1"/>
  <c r="D14" i="3" s="1"/>
  <c r="E6" i="3" s="1"/>
  <c r="E14" i="3" s="1"/>
  <c r="F6" i="3" s="1"/>
  <c r="F14" i="3" s="1"/>
  <c r="G6" i="3" s="1"/>
  <c r="G14" i="3" s="1"/>
  <c r="H6" i="3" s="1"/>
  <c r="H14" i="3" s="1"/>
  <c r="I6" i="3" s="1"/>
  <c r="I14" i="3" s="1"/>
  <c r="J6" i="3" s="1"/>
  <c r="J14" i="3" s="1"/>
  <c r="K6" i="3" s="1"/>
  <c r="K14" i="3" s="1"/>
  <c r="L6" i="3" s="1"/>
  <c r="L14" i="3" s="1"/>
  <c r="M6" i="3" s="1"/>
  <c r="M14" i="3" s="1"/>
  <c r="N6" i="3" s="1"/>
  <c r="N14" i="3" s="1"/>
  <c r="O13" i="3"/>
  <c r="O12" i="3"/>
  <c r="O11" i="3"/>
  <c r="O10" i="3"/>
  <c r="O9" i="3"/>
  <c r="O8" i="3"/>
  <c r="O7" i="3"/>
  <c r="C17" i="2"/>
  <c r="D9" i="2" s="1"/>
  <c r="D17" i="2" s="1"/>
  <c r="E9" i="2" s="1"/>
  <c r="E17" i="2" s="1"/>
  <c r="F9" i="2" s="1"/>
  <c r="F17" i="2" s="1"/>
  <c r="G9" i="2" s="1"/>
  <c r="G17" i="2" s="1"/>
  <c r="H9" i="2" s="1"/>
  <c r="H17" i="2" s="1"/>
  <c r="I9" i="2" s="1"/>
  <c r="I17" i="2" s="1"/>
  <c r="J9" i="2" s="1"/>
  <c r="J17" i="2" s="1"/>
  <c r="K9" i="2" s="1"/>
  <c r="K17" i="2" s="1"/>
  <c r="L9" i="2" s="1"/>
  <c r="L17" i="2" s="1"/>
  <c r="M9" i="2" s="1"/>
  <c r="M17" i="2" s="1"/>
  <c r="N9" i="2" s="1"/>
  <c r="N17" i="2" s="1"/>
  <c r="O16" i="2"/>
  <c r="O15" i="2"/>
  <c r="O14" i="2"/>
  <c r="O13" i="2"/>
  <c r="O12" i="2"/>
  <c r="O11" i="2"/>
  <c r="O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výsečový graf pro zachycení struktury výdajů
</t>
        </r>
        <r>
          <rPr>
            <sz val="8"/>
            <color indexed="81"/>
            <rFont val="Tahoma"/>
            <family val="2"/>
            <charset val="238"/>
          </rPr>
          <t>- pro graf využijte data z řádků označených šedivou barvou
- popisky opravte dle obrázku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00000000-0006-0000-01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spojnicový graf pro zachycení Vývoje konečného stavu
</t>
        </r>
        <r>
          <rPr>
            <sz val="8"/>
            <color indexed="81"/>
            <rFont val="Tahoma"/>
            <family val="2"/>
            <charset val="238"/>
          </rPr>
          <t>- pro graf využijte data z řádků označených šedivou barvou
- popisky a legendy upravte dle obrázku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00000000-0006-0000-02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2D sloupcový graf pro Porovnání tržeb a výdajů
</t>
        </r>
        <r>
          <rPr>
            <sz val="8"/>
            <color indexed="81"/>
            <rFont val="Tahoma"/>
            <family val="2"/>
            <charset val="238"/>
          </rPr>
          <t>- pro graf využijte data z řádků označených šedivou barvou
- popisky a legendy upravte dle obrázku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" authorId="0" shapeId="0" xr:uid="{00000000-0006-0000-03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3D skládaný sloupcový graf pro Porovnání nákladů
</t>
        </r>
        <r>
          <rPr>
            <sz val="8"/>
            <color indexed="81"/>
            <rFont val="Tahoma"/>
            <family val="2"/>
            <charset val="238"/>
          </rPr>
          <t>- pro graf využijte data z řádků označených šedivou barvou
- sloupce převeďte na válcový tvar a upravte barvy číselných řad
- popisky a legendy upravte dle obrázku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38"/>
          </rPr>
          <t xml:space="preserve">Vytvořte bublinový graf pro zobrazení sluneční soustavy
</t>
        </r>
        <r>
          <rPr>
            <sz val="8"/>
            <color indexed="81"/>
            <rFont val="Tahoma"/>
            <family val="2"/>
            <charset val="238"/>
          </rPr>
          <t xml:space="preserve">- pro graf využijte data z řádků označených šedivou barvou
- vypněte legendu a popis osy x, nastavte bílou barvu pro oblast grafu </t>
        </r>
      </text>
    </comment>
  </commentList>
</comments>
</file>

<file path=xl/sharedStrings.xml><?xml version="1.0" encoding="utf-8"?>
<sst xmlns="http://schemas.openxmlformats.org/spreadsheetml/2006/main" count="127" uniqueCount="52">
  <si>
    <t>Položka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</si>
  <si>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</si>
  <si>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</si>
  <si>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</si>
  <si>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</si>
  <si>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</si>
  <si>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</si>
  <si>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</si>
  <si>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</si>
  <si>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</si>
  <si>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</si>
  <si>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</si>
  <si>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</si>
  <si>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celkem</t>
  </si>
  <si>
    <t>+</t>
  </si>
  <si>
    <t>Počáteční stav</t>
  </si>
  <si>
    <t>Tržby</t>
  </si>
  <si>
    <t>Úvěr</t>
  </si>
  <si>
    <t>-</t>
  </si>
  <si>
    <t>Fixní výdaje</t>
  </si>
  <si>
    <t>Variabilní výd.</t>
  </si>
  <si>
    <t>Rezerva</t>
  </si>
  <si>
    <t>Investice</t>
  </si>
  <si>
    <t>Úrok</t>
  </si>
  <si>
    <t>Konečný stav</t>
  </si>
  <si>
    <r>
      <t xml:space="preserve"> PLATEBNÍ KALENDÁŘ FIRMY STROJIMPORT s.r.o. </t>
    </r>
    <r>
      <rPr>
        <sz val="14"/>
        <rFont val="Arial CE"/>
        <family val="2"/>
        <charset val="238"/>
      </rPr>
      <t xml:space="preserve">  </t>
    </r>
    <r>
      <rPr>
        <sz val="8"/>
        <rFont val="Arial CE"/>
        <family val="2"/>
        <charset val="238"/>
      </rPr>
      <t>(údaje v tis. Kč)</t>
    </r>
  </si>
  <si>
    <t>Úkol</t>
  </si>
  <si>
    <t>Rozpočet nákladů</t>
  </si>
  <si>
    <t>Položka rozpočtu</t>
  </si>
  <si>
    <t>Výrobek</t>
  </si>
  <si>
    <t>Celkem</t>
  </si>
  <si>
    <t>A</t>
  </si>
  <si>
    <t>B</t>
  </si>
  <si>
    <t>C</t>
  </si>
  <si>
    <t>Počet prodaných kusů</t>
  </si>
  <si>
    <t>Celkové náklady</t>
  </si>
  <si>
    <t>přímý materiál</t>
  </si>
  <si>
    <t>přímé mzdy</t>
  </si>
  <si>
    <t>režie</t>
  </si>
  <si>
    <t>Zisk</t>
  </si>
  <si>
    <t>Planeta</t>
  </si>
  <si>
    <t>Vzdále-nost</t>
  </si>
  <si>
    <t>Průměr</t>
  </si>
  <si>
    <t>Merkur</t>
  </si>
  <si>
    <t>Venuše</t>
  </si>
  <si>
    <t>Země</t>
  </si>
  <si>
    <t>Mars</t>
  </si>
  <si>
    <t>Jupiter</t>
  </si>
  <si>
    <t>Saturn</t>
  </si>
  <si>
    <t>Uran</t>
  </si>
  <si>
    <t>Neptun</t>
  </si>
  <si>
    <t>Pluto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</si>
</sst>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  <charset val="238"/>
    </font>
    <font>
      <sz val="8"/>
      <name val="Arial"/>
      <family val="2"/>
      <charset val="238"/>
    </font>
    <font>
      <u/>
      <sz val="14"/>
      <name val="Arial CE"/>
      <family val="2"/>
      <charset val="238"/>
    </font>
    <font>
      <sz val="14"/>
      <name val="Arial CE"/>
      <family val="2"/>
      <charset val="238"/>
    </font>
    <font>
      <sz val="8"/>
      <name val="Arial CE"/>
      <family val="2"/>
      <charset val="238"/>
    </font>
    <font>
      <b/>
      <sz val="10"/>
      <name val="Arial CE"/>
      <family val="2"/>
      <charset val="238"/>
    </font>
    <font>
      <sz val="14"/>
      <color indexed="9"/>
      <name val="Arial"/>
      <family val="2"/>
      <charset val="238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b/>
      <u/>
      <sz val="14"/>
      <name val="Arial CE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uble">
        <color indexed="64"/>
      </bottom>
      <diagonal/>
    </border>
    <border>
      <left/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2" fillId="0" borderId="0" xfId="0" applyFont="1"/>
    <xf numFmtId="0" fontId="0" fillId="0" borderId="1" xfId="0" applyBorder="1"/>
    <xf numFmtId="0" fontId="5" fillId="0" borderId="2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3" fontId="0" fillId="2" borderId="9" xfId="0" applyNumberFormat="1" applyFill="1" applyBorder="1"/>
    <xf numFmtId="3" fontId="0" fillId="2" borderId="10" xfId="0" applyNumberFormat="1" applyFill="1" applyBorder="1"/>
    <xf numFmtId="3" fontId="0" fillId="2" borderId="11" xfId="0" applyNumberFormat="1" applyFill="1" applyBorder="1"/>
    <xf numFmtId="0" fontId="0" fillId="0" borderId="12" xfId="0" applyBorder="1" applyAlignment="1">
      <alignment horizontal="center"/>
    </xf>
    <xf numFmtId="0" fontId="0" fillId="3" borderId="13" xfId="0" applyFill="1" applyBorder="1"/>
    <xf numFmtId="3" fontId="0" fillId="2" borderId="14" xfId="0" applyNumberFormat="1" applyFill="1" applyBorder="1"/>
    <xf numFmtId="3" fontId="0" fillId="2" borderId="15" xfId="0" applyNumberFormat="1" applyFill="1" applyBorder="1"/>
    <xf numFmtId="3" fontId="0" fillId="2" borderId="16" xfId="0" applyNumberFormat="1" applyFill="1" applyBorder="1"/>
    <xf numFmtId="3" fontId="0" fillId="2" borderId="17" xfId="0" applyNumberFormat="1" applyFill="1" applyBorder="1"/>
    <xf numFmtId="0" fontId="0" fillId="0" borderId="18" xfId="0" applyBorder="1"/>
    <xf numFmtId="0" fontId="0" fillId="0" borderId="19" xfId="0" applyBorder="1"/>
    <xf numFmtId="3" fontId="0" fillId="2" borderId="20" xfId="0" applyNumberFormat="1" applyFill="1" applyBorder="1"/>
    <xf numFmtId="3" fontId="0" fillId="2" borderId="21" xfId="0" applyNumberFormat="1" applyFill="1" applyBorder="1"/>
    <xf numFmtId="0" fontId="0" fillId="0" borderId="13" xfId="0" applyFill="1" applyBorder="1"/>
    <xf numFmtId="3" fontId="0" fillId="0" borderId="15" xfId="0" applyNumberFormat="1" applyFill="1" applyBorder="1"/>
    <xf numFmtId="3" fontId="0" fillId="0" borderId="16" xfId="0" applyNumberFormat="1" applyFill="1" applyBorder="1"/>
    <xf numFmtId="3" fontId="0" fillId="0" borderId="17" xfId="0" applyNumberFormat="1" applyFill="1" applyBorder="1"/>
    <xf numFmtId="3" fontId="0" fillId="3" borderId="14" xfId="0" applyNumberFormat="1" applyFill="1" applyBorder="1"/>
    <xf numFmtId="0" fontId="6" fillId="4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3" fontId="0" fillId="0" borderId="14" xfId="0" applyNumberFormat="1" applyFill="1" applyBorder="1"/>
    <xf numFmtId="0" fontId="0" fillId="0" borderId="19" xfId="0" applyFill="1" applyBorder="1"/>
    <xf numFmtId="3" fontId="0" fillId="3" borderId="20" xfId="0" applyNumberFormat="1" applyFill="1" applyBorder="1"/>
    <xf numFmtId="3" fontId="0" fillId="0" borderId="21" xfId="0" applyNumberFormat="1" applyFill="1" applyBorder="1"/>
    <xf numFmtId="3" fontId="0" fillId="3" borderId="15" xfId="0" applyNumberFormat="1" applyFill="1" applyBorder="1"/>
    <xf numFmtId="3" fontId="0" fillId="3" borderId="16" xfId="0" applyNumberFormat="1" applyFill="1" applyBorder="1"/>
    <xf numFmtId="3" fontId="0" fillId="3" borderId="17" xfId="0" applyNumberFormat="1" applyFill="1" applyBorder="1"/>
    <xf numFmtId="3" fontId="0" fillId="0" borderId="20" xfId="0" applyNumberFormat="1" applyFill="1" applyBorder="1"/>
    <xf numFmtId="0" fontId="0" fillId="0" borderId="0" xfId="0" applyProtection="1"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3" fontId="0" fillId="0" borderId="23" xfId="0" applyNumberFormat="1" applyBorder="1" applyProtection="1">
      <protection locked="0"/>
    </xf>
    <xf numFmtId="3" fontId="0" fillId="0" borderId="24" xfId="0" applyNumberFormat="1" applyBorder="1" applyProtection="1">
      <protection locked="0"/>
    </xf>
    <xf numFmtId="3" fontId="0" fillId="0" borderId="25" xfId="0" applyNumberFormat="1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3" fontId="0" fillId="0" borderId="28" xfId="0" applyNumberFormat="1" applyBorder="1" applyProtection="1">
      <protection locked="0"/>
    </xf>
    <xf numFmtId="3" fontId="0" fillId="0" borderId="29" xfId="0" applyNumberFormat="1" applyBorder="1" applyProtection="1">
      <protection locked="0"/>
    </xf>
    <xf numFmtId="3" fontId="0" fillId="0" borderId="30" xfId="0" applyNumberFormat="1" applyBorder="1" applyProtection="1">
      <protection locked="0"/>
    </xf>
    <xf numFmtId="3" fontId="0" fillId="0" borderId="11" xfId="0" applyNumberFormat="1" applyFill="1" applyBorder="1" applyProtection="1"/>
    <xf numFmtId="0" fontId="0" fillId="3" borderId="31" xfId="0" applyFill="1" applyBorder="1" applyProtection="1">
      <protection locked="0"/>
    </xf>
    <xf numFmtId="3" fontId="0" fillId="3" borderId="15" xfId="0" applyNumberFormat="1" applyFill="1" applyBorder="1" applyProtection="1">
      <protection locked="0"/>
    </xf>
    <xf numFmtId="3" fontId="0" fillId="3" borderId="16" xfId="0" applyNumberFormat="1" applyFill="1" applyBorder="1" applyProtection="1">
      <protection locked="0"/>
    </xf>
    <xf numFmtId="3" fontId="0" fillId="3" borderId="17" xfId="0" applyNumberFormat="1" applyFill="1" applyBorder="1" applyProtection="1">
      <protection locked="0"/>
    </xf>
    <xf numFmtId="3" fontId="0" fillId="0" borderId="14" xfId="0" applyNumberFormat="1" applyFill="1" applyBorder="1" applyProtection="1"/>
    <xf numFmtId="0" fontId="0" fillId="0" borderId="32" xfId="0" applyBorder="1" applyProtection="1">
      <protection locked="0"/>
    </xf>
    <xf numFmtId="0" fontId="0" fillId="0" borderId="33" xfId="0" applyBorder="1" applyProtection="1">
      <protection locked="0"/>
    </xf>
    <xf numFmtId="3" fontId="0" fillId="0" borderId="34" xfId="0" applyNumberFormat="1" applyFill="1" applyBorder="1" applyProtection="1"/>
    <xf numFmtId="3" fontId="0" fillId="0" borderId="35" xfId="0" applyNumberFormat="1" applyFill="1" applyBorder="1" applyProtection="1"/>
    <xf numFmtId="3" fontId="0" fillId="0" borderId="21" xfId="0" applyNumberFormat="1" applyFill="1" applyBorder="1" applyProtection="1"/>
    <xf numFmtId="0" fontId="5" fillId="0" borderId="36" xfId="0" applyFont="1" applyBorder="1"/>
    <xf numFmtId="0" fontId="5" fillId="0" borderId="37" xfId="0" applyFont="1" applyBorder="1" applyAlignment="1">
      <alignment horizontal="center" wrapText="1"/>
    </xf>
    <xf numFmtId="0" fontId="5" fillId="0" borderId="38" xfId="0" applyFont="1" applyBorder="1" applyAlignment="1">
      <alignment horizontal="center"/>
    </xf>
    <xf numFmtId="0" fontId="0" fillId="0" borderId="12" xfId="0" applyBorder="1"/>
    <xf numFmtId="0" fontId="0" fillId="3" borderId="16" xfId="0" applyFill="1" applyBorder="1"/>
    <xf numFmtId="3" fontId="0" fillId="3" borderId="13" xfId="0" applyNumberFormat="1" applyFill="1" applyBorder="1"/>
    <xf numFmtId="0" fontId="0" fillId="3" borderId="39" xfId="0" applyFill="1" applyBorder="1"/>
    <xf numFmtId="3" fontId="0" fillId="3" borderId="19" xfId="0" applyNumberFormat="1" applyFill="1" applyBorder="1"/>
    <xf numFmtId="0" fontId="9" fillId="0" borderId="0" xfId="0" applyFont="1" applyAlignment="1" applyProtection="1">
      <alignment horizontal="center"/>
      <protection locked="0"/>
    </xf>
    <xf numFmtId="0" fontId="0" fillId="0" borderId="40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0" fillId="0" borderId="43" xfId="0" applyBorder="1" applyAlignment="1" applyProtection="1">
      <alignment horizontal="center" vertical="center"/>
      <protection locked="0"/>
    </xf>
    <xf numFmtId="0" fontId="0" fillId="0" borderId="44" xfId="0" applyBorder="1" applyAlignment="1" applyProtection="1">
      <alignment horizontal="center" vertical="center"/>
      <protection locked="0"/>
    </xf>
    <xf numFmtId="0" fontId="0" fillId="0" borderId="45" xfId="0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horizontal="center" vertical="center" textRotation="45"/>
      <protection locked="0"/>
    </xf>
    <xf numFmtId="0" fontId="0" fillId="0" borderId="47" xfId="0" applyBorder="1" applyAlignment="1" applyProtection="1">
      <alignment horizontal="center" vertical="center" textRotation="45"/>
      <protection locked="0"/>
    </xf>
    <xf numFmtId="0" fontId="0" fillId="0" borderId="48" xfId="0" applyBorder="1" applyAlignment="1" applyProtection="1">
      <alignment horizontal="center" vertical="center" textRotation="45"/>
      <protection locked="0"/>
    </xf>
    <xf numFmtId="0" fontId="0" fillId="0" borderId="49" xfId="0" applyBorder="1" applyAlignment="1" applyProtection="1">
      <alignment vertical="center" wrapText="1"/>
      <protection locked="0"/>
    </xf>
    <xf numFmtId="0" fontId="0" fillId="0" borderId="50" xfId="0" applyBorder="1" applyAlignment="1" applyProtection="1">
      <alignment vertical="center" wrapText="1"/>
      <protection locked="0"/>
    </xf>
    <xf numFmtId="0" fontId="0" fillId="0" borderId="51" xfId="0" applyBorder="1" applyAlignment="1" applyProtection="1">
      <alignment vertical="center" wrapText="1"/>
      <protection locked="0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228601</xdr:colOff>
      <xdr:row>21</xdr:row>
      <xdr:rowOff>36931</xdr:rowOff>
    </xdr:from>
    <xdr:to>
      <xdr:col>3</xdr:col>
      <xdr:colOff>463551</xdr:colOff>
      <xdr:row>32</xdr:row>
      <xdr:rowOff>152400</xdr:rowOff>
    </xdr:to>
    <xdr:pic>
      <xdr:nvPicPr>
        <xdr:cNvPr id="1032" name="Picture 2">
          <a:extLst>
            <a:ext uri="{FF2B5EF4-FFF2-40B4-BE49-F238E27FC236}">
              <a16:creationId xmlns:a16="http://schemas.microsoft.com/office/drawing/2014/main" id="{CF754B08-8A22-4C9E-B523-F2BEFADFD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8000" contrast="6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1" y="3618331"/>
          <a:ext cx="1739900" cy="1861719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14</xdr:row>
      <xdr:rowOff>114300</xdr:rowOff>
    </xdr:from>
    <xdr:to>
      <xdr:col>6</xdr:col>
      <xdr:colOff>381000</xdr:colOff>
      <xdr:row>27</xdr:row>
      <xdr:rowOff>66675</xdr:rowOff>
    </xdr:to>
    <xdr:pic>
      <xdr:nvPicPr>
        <xdr:cNvPr id="2055" name="Picture 1">
          <a:extLst>
            <a:ext uri="{FF2B5EF4-FFF2-40B4-BE49-F238E27FC236}">
              <a16:creationId xmlns:a16="http://schemas.microsoft.com/office/drawing/2014/main" id="{D4949584-BF47-4561-B38C-8D7AF57A3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2000" contrast="24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2628900"/>
          <a:ext cx="3629025" cy="20574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15</xdr:row>
      <xdr:rowOff>57150</xdr:rowOff>
    </xdr:from>
    <xdr:to>
      <xdr:col>6</xdr:col>
      <xdr:colOff>209550</xdr:colOff>
      <xdr:row>28</xdr:row>
      <xdr:rowOff>95250</xdr:rowOff>
    </xdr:to>
    <xdr:pic>
      <xdr:nvPicPr>
        <xdr:cNvPr id="3079" name="Picture 1">
          <a:extLst>
            <a:ext uri="{FF2B5EF4-FFF2-40B4-BE49-F238E27FC236}">
              <a16:creationId xmlns:a16="http://schemas.microsoft.com/office/drawing/2014/main" id="{EF833B8B-925D-4C91-95D0-2C8804CC3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2000" contrast="3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647950"/>
          <a:ext cx="3419475" cy="2143125"/>
        </a:xfrm>
        <a:prstGeom prst="rect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14</xdr:row>
      <xdr:rowOff>28575</xdr:rowOff>
    </xdr:from>
    <xdr:to>
      <xdr:col>4</xdr:col>
      <xdr:colOff>171450</xdr:colOff>
      <xdr:row>27</xdr:row>
      <xdr:rowOff>152400</xdr:rowOff>
    </xdr:to>
    <xdr:pic>
      <xdr:nvPicPr>
        <xdr:cNvPr id="4103" name="Picture 1">
          <a:extLst>
            <a:ext uri="{FF2B5EF4-FFF2-40B4-BE49-F238E27FC236}">
              <a16:creationId xmlns:a16="http://schemas.microsoft.com/office/drawing/2014/main" id="{8C5AC5AC-47F8-4EDF-BD59-97568D76E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6000" contrast="4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2514600"/>
          <a:ext cx="2962275" cy="2228850"/>
        </a:xfrm>
        <a:prstGeom prst="rect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14</xdr:row>
      <xdr:rowOff>85725</xdr:rowOff>
    </xdr:from>
    <xdr:to>
      <xdr:col>6</xdr:col>
      <xdr:colOff>161925</xdr:colOff>
      <xdr:row>26</xdr:row>
      <xdr:rowOff>0</xdr:rowOff>
    </xdr:to>
    <xdr:pic>
      <xdr:nvPicPr>
        <xdr:cNvPr id="5127" name="Picture 1">
          <a:extLst>
            <a:ext uri="{FF2B5EF4-FFF2-40B4-BE49-F238E27FC236}">
              <a16:creationId xmlns:a16="http://schemas.microsoft.com/office/drawing/2014/main" id="{BFDA03D5-F867-44C5-83F0-C454BCBA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18000" contrast="3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600325"/>
          <a:ext cx="3495675" cy="1857375"/>
        </a:xfrm>
        <a:prstGeom prst="rect">
          <a:avLst/>
        </a:prstGeom>
        <a:noFill/>
        <a:ln w="31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7"/>
  <sheetViews>
    <sheetView tabSelected="1" workbookViewId="0">
      <selection activeCell="H20" sqref="H20"/>
    </sheetView>
  </sheetViews>
  <sheetFormatPr defaultRowHeight="12.5" x14ac:dyDescent="0.25"/>
  <cols>
    <col min="1" max="1" width="2.54296875" customWidth="1"/>
    <col min="2" max="2" width="12.81640625" customWidth="1"/>
    <col min="3" max="15" width="8.7265625" customWidth="1"/>
  </cols>
  <sheetData>
    <row r="2" spans="1:15" ht="25.15" customHeight="1" x14ac:dyDescent="0.25">
      <c r="B2" s="28" t="s">
        <v>26</v>
      </c>
    </row>
    <row r="7" spans="1:15" ht="18" thickBot="1" x14ac:dyDescent="0.4">
      <c r="A7" s="1"/>
      <c r="B7" s="1" t="s">
        <v>25</v>
      </c>
    </row>
    <row r="8" spans="1:15" ht="13.5" thickBot="1" x14ac:dyDescent="0.35">
      <c r="A8" s="2"/>
      <c r="B8" s="3" t="s">
        <v>0</v>
      </c>
      <c r="C8" s="4" t="s">
        <v>1</v>
      </c>
      <c r="D8" s="5" t="s">
        <v>2</v>
      </c>
      <c r="E8" s="5" t="s">
        <v>3</v>
      </c>
      <c r="F8" s="5" t="s">
        <v>4</v>
      </c>
      <c r="G8" s="5" t="s">
        <v>5</v>
      </c>
      <c r="H8" s="5" t="s">
        <v>6</v>
      </c>
      <c r="I8" s="5" t="s">
        <v>7</v>
      </c>
      <c r="J8" s="5" t="s">
        <v>8</v>
      </c>
      <c r="K8" s="5" t="s">
        <v>9</v>
      </c>
      <c r="L8" s="5" t="s">
        <v>10</v>
      </c>
      <c r="M8" s="5" t="s">
        <v>11</v>
      </c>
      <c r="N8" s="6" t="s">
        <v>12</v>
      </c>
      <c r="O8" s="7" t="s">
        <v>13</v>
      </c>
    </row>
    <row r="9" spans="1:15" x14ac:dyDescent="0.25">
      <c r="A9" s="8" t="s">
        <v>14</v>
      </c>
      <c r="B9" s="9" t="s">
        <v>15</v>
      </c>
      <c r="C9" s="10">
        <v>2250</v>
      </c>
      <c r="D9" s="11">
        <f>C17</f>
        <v>3100</v>
      </c>
      <c r="E9" s="11">
        <f t="shared" ref="E9:N9" si="0">D17</f>
        <v>3550</v>
      </c>
      <c r="F9" s="11">
        <f t="shared" si="0"/>
        <v>4675</v>
      </c>
      <c r="G9" s="11">
        <f t="shared" si="0"/>
        <v>4800</v>
      </c>
      <c r="H9" s="11">
        <f t="shared" si="0"/>
        <v>4925</v>
      </c>
      <c r="I9" s="11">
        <f t="shared" si="0"/>
        <v>5050</v>
      </c>
      <c r="J9" s="11">
        <f t="shared" si="0"/>
        <v>4500</v>
      </c>
      <c r="K9" s="11">
        <f t="shared" si="0"/>
        <v>3950</v>
      </c>
      <c r="L9" s="11">
        <f t="shared" si="0"/>
        <v>4300</v>
      </c>
      <c r="M9" s="11">
        <f t="shared" si="0"/>
        <v>4650</v>
      </c>
      <c r="N9" s="11">
        <f t="shared" si="0"/>
        <v>5000</v>
      </c>
      <c r="O9" s="12"/>
    </row>
    <row r="10" spans="1:15" x14ac:dyDescent="0.25">
      <c r="A10" s="13" t="s">
        <v>14</v>
      </c>
      <c r="B10" s="23" t="s">
        <v>16</v>
      </c>
      <c r="C10" s="24">
        <v>5000</v>
      </c>
      <c r="D10" s="25">
        <v>3000</v>
      </c>
      <c r="E10" s="25">
        <v>4500</v>
      </c>
      <c r="F10" s="25">
        <v>4500</v>
      </c>
      <c r="G10" s="25">
        <v>4500</v>
      </c>
      <c r="H10" s="25">
        <v>4500</v>
      </c>
      <c r="I10" s="25">
        <v>3000</v>
      </c>
      <c r="J10" s="25">
        <v>3000</v>
      </c>
      <c r="K10" s="25">
        <v>5000</v>
      </c>
      <c r="L10" s="25">
        <v>5000</v>
      </c>
      <c r="M10" s="25">
        <v>5000</v>
      </c>
      <c r="N10" s="26">
        <v>2500</v>
      </c>
      <c r="O10" s="15">
        <f>SUM(C10:N10)</f>
        <v>49500</v>
      </c>
    </row>
    <row r="11" spans="1:15" x14ac:dyDescent="0.25">
      <c r="A11" s="13" t="s">
        <v>14</v>
      </c>
      <c r="B11" s="23" t="s">
        <v>17</v>
      </c>
      <c r="C11" s="24"/>
      <c r="D11" s="25"/>
      <c r="E11" s="25">
        <v>9000</v>
      </c>
      <c r="F11" s="25"/>
      <c r="G11" s="25"/>
      <c r="H11" s="25"/>
      <c r="I11" s="25"/>
      <c r="J11" s="25"/>
      <c r="K11" s="25"/>
      <c r="L11" s="25"/>
      <c r="M11" s="25"/>
      <c r="N11" s="26"/>
      <c r="O11" s="15">
        <f t="shared" ref="O11:O16" si="1">SUM(C11:N11)</f>
        <v>9000</v>
      </c>
    </row>
    <row r="12" spans="1:15" x14ac:dyDescent="0.25">
      <c r="A12" s="13" t="s">
        <v>18</v>
      </c>
      <c r="B12" s="14" t="s">
        <v>19</v>
      </c>
      <c r="C12" s="24">
        <v>900</v>
      </c>
      <c r="D12" s="25">
        <v>900</v>
      </c>
      <c r="E12" s="25">
        <v>900</v>
      </c>
      <c r="F12" s="25">
        <v>900</v>
      </c>
      <c r="G12" s="25">
        <v>900</v>
      </c>
      <c r="H12" s="25">
        <v>900</v>
      </c>
      <c r="I12" s="25">
        <v>900</v>
      </c>
      <c r="J12" s="25">
        <v>900</v>
      </c>
      <c r="K12" s="25">
        <v>900</v>
      </c>
      <c r="L12" s="25">
        <v>900</v>
      </c>
      <c r="M12" s="25">
        <v>900</v>
      </c>
      <c r="N12" s="26">
        <v>900</v>
      </c>
      <c r="O12" s="27">
        <f t="shared" si="1"/>
        <v>10800</v>
      </c>
    </row>
    <row r="13" spans="1:15" x14ac:dyDescent="0.25">
      <c r="A13" s="13" t="s">
        <v>18</v>
      </c>
      <c r="B13" s="14" t="s">
        <v>20</v>
      </c>
      <c r="C13" s="24">
        <v>2750</v>
      </c>
      <c r="D13" s="25">
        <v>1650</v>
      </c>
      <c r="E13" s="25">
        <v>2475</v>
      </c>
      <c r="F13" s="25">
        <v>2475</v>
      </c>
      <c r="G13" s="25">
        <v>2475</v>
      </c>
      <c r="H13" s="25">
        <v>2475</v>
      </c>
      <c r="I13" s="25">
        <v>1650</v>
      </c>
      <c r="J13" s="25">
        <v>1650</v>
      </c>
      <c r="K13" s="25">
        <v>2750</v>
      </c>
      <c r="L13" s="25">
        <v>2750</v>
      </c>
      <c r="M13" s="25">
        <v>2750</v>
      </c>
      <c r="N13" s="26">
        <v>1375</v>
      </c>
      <c r="O13" s="27">
        <f t="shared" si="1"/>
        <v>27225</v>
      </c>
    </row>
    <row r="14" spans="1:15" x14ac:dyDescent="0.25">
      <c r="A14" s="13" t="s">
        <v>18</v>
      </c>
      <c r="B14" s="14" t="s">
        <v>21</v>
      </c>
      <c r="C14" s="16">
        <v>500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27">
        <f t="shared" si="1"/>
        <v>500</v>
      </c>
    </row>
    <row r="15" spans="1:15" x14ac:dyDescent="0.25">
      <c r="A15" s="13" t="s">
        <v>18</v>
      </c>
      <c r="B15" s="14" t="s">
        <v>22</v>
      </c>
      <c r="C15" s="16"/>
      <c r="D15" s="17"/>
      <c r="E15" s="17">
        <v>9000</v>
      </c>
      <c r="F15" s="17"/>
      <c r="G15" s="17"/>
      <c r="H15" s="17"/>
      <c r="I15" s="17"/>
      <c r="J15" s="17"/>
      <c r="K15" s="17"/>
      <c r="L15" s="17"/>
      <c r="M15" s="17"/>
      <c r="N15" s="18"/>
      <c r="O15" s="27">
        <f t="shared" si="1"/>
        <v>9000</v>
      </c>
    </row>
    <row r="16" spans="1:15" x14ac:dyDescent="0.25">
      <c r="A16" s="13" t="s">
        <v>18</v>
      </c>
      <c r="B16" s="14" t="s">
        <v>23</v>
      </c>
      <c r="C16" s="16"/>
      <c r="D16" s="17"/>
      <c r="E16" s="17"/>
      <c r="F16" s="17">
        <v>1000</v>
      </c>
      <c r="G16" s="17">
        <v>1000</v>
      </c>
      <c r="H16" s="17">
        <v>1000</v>
      </c>
      <c r="I16" s="17">
        <v>1000</v>
      </c>
      <c r="J16" s="17">
        <v>1000</v>
      </c>
      <c r="K16" s="17">
        <v>1000</v>
      </c>
      <c r="L16" s="17">
        <v>1000</v>
      </c>
      <c r="M16" s="17">
        <v>1000</v>
      </c>
      <c r="N16" s="18">
        <v>1593</v>
      </c>
      <c r="O16" s="27">
        <f t="shared" si="1"/>
        <v>9593</v>
      </c>
    </row>
    <row r="17" spans="1:15" ht="13" thickBot="1" x14ac:dyDescent="0.3">
      <c r="A17" s="19"/>
      <c r="B17" s="20" t="s">
        <v>24</v>
      </c>
      <c r="C17" s="21">
        <f>C9+C10+C11-C12-C13-C14-C15-C16</f>
        <v>3100</v>
      </c>
      <c r="D17" s="21">
        <f t="shared" ref="D17:N17" si="2">D9+D10+D11-D12-D13-D14-D15-D16</f>
        <v>3550</v>
      </c>
      <c r="E17" s="21">
        <f t="shared" si="2"/>
        <v>4675</v>
      </c>
      <c r="F17" s="21">
        <f t="shared" si="2"/>
        <v>4800</v>
      </c>
      <c r="G17" s="21">
        <f t="shared" si="2"/>
        <v>4925</v>
      </c>
      <c r="H17" s="21">
        <f t="shared" si="2"/>
        <v>5050</v>
      </c>
      <c r="I17" s="21">
        <f t="shared" si="2"/>
        <v>4500</v>
      </c>
      <c r="J17" s="21">
        <f t="shared" si="2"/>
        <v>3950</v>
      </c>
      <c r="K17" s="21">
        <f t="shared" si="2"/>
        <v>4300</v>
      </c>
      <c r="L17" s="21">
        <f t="shared" si="2"/>
        <v>4650</v>
      </c>
      <c r="M17" s="21">
        <f t="shared" si="2"/>
        <v>5000</v>
      </c>
      <c r="N17" s="21">
        <f t="shared" si="2"/>
        <v>3632</v>
      </c>
      <c r="O17" s="22"/>
    </row>
  </sheetData>
  <phoneticPr fontId="1" type="noConversion"/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14"/>
  <sheetViews>
    <sheetView workbookViewId="0">
      <selection activeCell="H20" sqref="H20"/>
    </sheetView>
  </sheetViews>
  <sheetFormatPr defaultRowHeight="12.5" x14ac:dyDescent="0.25"/>
  <cols>
    <col min="1" max="1" width="2.54296875" customWidth="1"/>
    <col min="2" max="2" width="12.81640625" customWidth="1"/>
    <col min="3" max="15" width="8.7265625" customWidth="1"/>
  </cols>
  <sheetData>
    <row r="2" spans="1:15" ht="25.15" customHeight="1" x14ac:dyDescent="0.25">
      <c r="B2" s="28" t="s">
        <v>26</v>
      </c>
    </row>
    <row r="4" spans="1:15" ht="18" thickBot="1" x14ac:dyDescent="0.4">
      <c r="A4" s="1"/>
      <c r="B4" s="1" t="s">
        <v>25</v>
      </c>
    </row>
    <row r="5" spans="1:15" ht="13.5" thickBot="1" x14ac:dyDescent="0.35">
      <c r="A5" s="2"/>
      <c r="B5" s="3" t="s">
        <v>0</v>
      </c>
      <c r="C5" s="29" t="s">
        <v>1</v>
      </c>
      <c r="D5" s="30" t="s">
        <v>2</v>
      </c>
      <c r="E5" s="30" t="s">
        <v>3</v>
      </c>
      <c r="F5" s="30" t="s">
        <v>4</v>
      </c>
      <c r="G5" s="30" t="s">
        <v>5</v>
      </c>
      <c r="H5" s="30" t="s">
        <v>6</v>
      </c>
      <c r="I5" s="30" t="s">
        <v>7</v>
      </c>
      <c r="J5" s="30" t="s">
        <v>8</v>
      </c>
      <c r="K5" s="30" t="s">
        <v>9</v>
      </c>
      <c r="L5" s="30" t="s">
        <v>10</v>
      </c>
      <c r="M5" s="30" t="s">
        <v>11</v>
      </c>
      <c r="N5" s="31" t="s">
        <v>12</v>
      </c>
      <c r="O5" s="7" t="s">
        <v>13</v>
      </c>
    </row>
    <row r="6" spans="1:15" x14ac:dyDescent="0.25">
      <c r="A6" s="8" t="s">
        <v>14</v>
      </c>
      <c r="B6" s="9" t="s">
        <v>15</v>
      </c>
      <c r="C6" s="10">
        <v>2250</v>
      </c>
      <c r="D6" s="11">
        <f t="shared" ref="D6:N6" si="0">C14</f>
        <v>3100</v>
      </c>
      <c r="E6" s="11">
        <f t="shared" si="0"/>
        <v>3550</v>
      </c>
      <c r="F6" s="11">
        <f t="shared" si="0"/>
        <v>4675</v>
      </c>
      <c r="G6" s="11">
        <f t="shared" si="0"/>
        <v>4800</v>
      </c>
      <c r="H6" s="11">
        <f t="shared" si="0"/>
        <v>4925</v>
      </c>
      <c r="I6" s="11">
        <f t="shared" si="0"/>
        <v>5050</v>
      </c>
      <c r="J6" s="11">
        <f t="shared" si="0"/>
        <v>4500</v>
      </c>
      <c r="K6" s="11">
        <f t="shared" si="0"/>
        <v>3950</v>
      </c>
      <c r="L6" s="11">
        <f t="shared" si="0"/>
        <v>4300</v>
      </c>
      <c r="M6" s="11">
        <f t="shared" si="0"/>
        <v>4650</v>
      </c>
      <c r="N6" s="11">
        <f t="shared" si="0"/>
        <v>5000</v>
      </c>
      <c r="O6" s="12"/>
    </row>
    <row r="7" spans="1:15" x14ac:dyDescent="0.25">
      <c r="A7" s="13" t="s">
        <v>14</v>
      </c>
      <c r="B7" s="23" t="s">
        <v>16</v>
      </c>
      <c r="C7" s="24">
        <v>5000</v>
      </c>
      <c r="D7" s="25">
        <v>3000</v>
      </c>
      <c r="E7" s="25">
        <v>4500</v>
      </c>
      <c r="F7" s="25">
        <v>4500</v>
      </c>
      <c r="G7" s="25">
        <v>4500</v>
      </c>
      <c r="H7" s="25">
        <v>4500</v>
      </c>
      <c r="I7" s="25">
        <v>3000</v>
      </c>
      <c r="J7" s="25">
        <v>3000</v>
      </c>
      <c r="K7" s="25">
        <v>5000</v>
      </c>
      <c r="L7" s="25">
        <v>5000</v>
      </c>
      <c r="M7" s="25">
        <v>5000</v>
      </c>
      <c r="N7" s="26">
        <v>2500</v>
      </c>
      <c r="O7" s="15">
        <f t="shared" ref="O7:O13" si="1">SUM(C7:N7)</f>
        <v>49500</v>
      </c>
    </row>
    <row r="8" spans="1:15" x14ac:dyDescent="0.25">
      <c r="A8" s="13" t="s">
        <v>14</v>
      </c>
      <c r="B8" s="23" t="s">
        <v>17</v>
      </c>
      <c r="C8" s="24"/>
      <c r="D8" s="25"/>
      <c r="E8" s="25">
        <v>9000</v>
      </c>
      <c r="F8" s="25"/>
      <c r="G8" s="25"/>
      <c r="H8" s="25"/>
      <c r="I8" s="25"/>
      <c r="J8" s="25"/>
      <c r="K8" s="25"/>
      <c r="L8" s="25"/>
      <c r="M8" s="25"/>
      <c r="N8" s="26"/>
      <c r="O8" s="15">
        <f t="shared" si="1"/>
        <v>9000</v>
      </c>
    </row>
    <row r="9" spans="1:15" x14ac:dyDescent="0.25">
      <c r="A9" s="13" t="s">
        <v>18</v>
      </c>
      <c r="B9" s="23" t="s">
        <v>19</v>
      </c>
      <c r="C9" s="24">
        <v>900</v>
      </c>
      <c r="D9" s="25">
        <v>900</v>
      </c>
      <c r="E9" s="25">
        <v>900</v>
      </c>
      <c r="F9" s="25">
        <v>900</v>
      </c>
      <c r="G9" s="25">
        <v>900</v>
      </c>
      <c r="H9" s="25">
        <v>900</v>
      </c>
      <c r="I9" s="25">
        <v>900</v>
      </c>
      <c r="J9" s="25">
        <v>900</v>
      </c>
      <c r="K9" s="25">
        <v>900</v>
      </c>
      <c r="L9" s="25">
        <v>900</v>
      </c>
      <c r="M9" s="25">
        <v>900</v>
      </c>
      <c r="N9" s="26">
        <v>900</v>
      </c>
      <c r="O9" s="32">
        <f t="shared" si="1"/>
        <v>10800</v>
      </c>
    </row>
    <row r="10" spans="1:15" x14ac:dyDescent="0.25">
      <c r="A10" s="13" t="s">
        <v>18</v>
      </c>
      <c r="B10" s="23" t="s">
        <v>20</v>
      </c>
      <c r="C10" s="24">
        <v>2750</v>
      </c>
      <c r="D10" s="25">
        <v>1650</v>
      </c>
      <c r="E10" s="25">
        <v>2475</v>
      </c>
      <c r="F10" s="25">
        <v>2475</v>
      </c>
      <c r="G10" s="25">
        <v>2475</v>
      </c>
      <c r="H10" s="25">
        <v>2475</v>
      </c>
      <c r="I10" s="25">
        <v>1650</v>
      </c>
      <c r="J10" s="25">
        <v>1650</v>
      </c>
      <c r="K10" s="25">
        <v>2750</v>
      </c>
      <c r="L10" s="25">
        <v>2750</v>
      </c>
      <c r="M10" s="25">
        <v>2750</v>
      </c>
      <c r="N10" s="26">
        <v>1375</v>
      </c>
      <c r="O10" s="32">
        <f t="shared" si="1"/>
        <v>27225</v>
      </c>
    </row>
    <row r="11" spans="1:15" x14ac:dyDescent="0.25">
      <c r="A11" s="13" t="s">
        <v>18</v>
      </c>
      <c r="B11" s="23" t="s">
        <v>21</v>
      </c>
      <c r="C11" s="24">
        <v>500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6"/>
      <c r="O11" s="32">
        <f t="shared" si="1"/>
        <v>500</v>
      </c>
    </row>
    <row r="12" spans="1:15" x14ac:dyDescent="0.25">
      <c r="A12" s="13" t="s">
        <v>18</v>
      </c>
      <c r="B12" s="23" t="s">
        <v>22</v>
      </c>
      <c r="C12" s="24"/>
      <c r="D12" s="25"/>
      <c r="E12" s="25">
        <v>9000</v>
      </c>
      <c r="F12" s="25"/>
      <c r="G12" s="25"/>
      <c r="H12" s="25"/>
      <c r="I12" s="25"/>
      <c r="J12" s="25"/>
      <c r="K12" s="25"/>
      <c r="L12" s="25"/>
      <c r="M12" s="25"/>
      <c r="N12" s="26"/>
      <c r="O12" s="32">
        <f t="shared" si="1"/>
        <v>9000</v>
      </c>
    </row>
    <row r="13" spans="1:15" x14ac:dyDescent="0.25">
      <c r="A13" s="13" t="s">
        <v>18</v>
      </c>
      <c r="B13" s="23" t="s">
        <v>23</v>
      </c>
      <c r="C13" s="24"/>
      <c r="D13" s="25"/>
      <c r="E13" s="25"/>
      <c r="F13" s="25">
        <v>1000</v>
      </c>
      <c r="G13" s="25">
        <v>1000</v>
      </c>
      <c r="H13" s="25">
        <v>1000</v>
      </c>
      <c r="I13" s="25">
        <v>1000</v>
      </c>
      <c r="J13" s="25">
        <v>1000</v>
      </c>
      <c r="K13" s="25">
        <v>1000</v>
      </c>
      <c r="L13" s="25">
        <v>1000</v>
      </c>
      <c r="M13" s="25">
        <v>1000</v>
      </c>
      <c r="N13" s="26">
        <v>1593</v>
      </c>
      <c r="O13" s="32">
        <f t="shared" si="1"/>
        <v>9593</v>
      </c>
    </row>
    <row r="14" spans="1:15" ht="13" thickBot="1" x14ac:dyDescent="0.3">
      <c r="A14" s="19"/>
      <c r="B14" s="33" t="s">
        <v>24</v>
      </c>
      <c r="C14" s="34">
        <f t="shared" ref="C14:N14" si="2">C6+C7+C8-C9-C10-C11-C12-C13</f>
        <v>3100</v>
      </c>
      <c r="D14" s="34">
        <f t="shared" si="2"/>
        <v>3550</v>
      </c>
      <c r="E14" s="34">
        <f t="shared" si="2"/>
        <v>4675</v>
      </c>
      <c r="F14" s="34">
        <f t="shared" si="2"/>
        <v>4800</v>
      </c>
      <c r="G14" s="34">
        <f t="shared" si="2"/>
        <v>4925</v>
      </c>
      <c r="H14" s="34">
        <f t="shared" si="2"/>
        <v>5050</v>
      </c>
      <c r="I14" s="34">
        <f t="shared" si="2"/>
        <v>4500</v>
      </c>
      <c r="J14" s="34">
        <f t="shared" si="2"/>
        <v>3950</v>
      </c>
      <c r="K14" s="34">
        <f t="shared" si="2"/>
        <v>4300</v>
      </c>
      <c r="L14" s="34">
        <f t="shared" si="2"/>
        <v>4650</v>
      </c>
      <c r="M14" s="34">
        <f t="shared" si="2"/>
        <v>5000</v>
      </c>
      <c r="N14" s="34">
        <f t="shared" si="2"/>
        <v>3632</v>
      </c>
      <c r="O14" s="35"/>
    </row>
  </sheetData>
  <pageMargins left="0.78740157499999996" right="0.78740157499999996" top="0.984251969" bottom="0.984251969" header="0.4921259845" footer="0.4921259845"/>
  <pageSetup paperSize="9" orientation="portrait" horizontalDpi="4294967293" verticalDpi="4294967293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5"/>
  <sheetViews>
    <sheetView workbookViewId="0">
      <selection activeCell="I2" sqref="I2"/>
    </sheetView>
  </sheetViews>
  <sheetFormatPr defaultRowHeight="12.5" x14ac:dyDescent="0.25"/>
  <cols>
    <col min="1" max="1" width="2.54296875" customWidth="1"/>
    <col min="2" max="2" width="12.81640625" customWidth="1"/>
    <col min="3" max="15" width="8.7265625" customWidth="1"/>
  </cols>
  <sheetData>
    <row r="2" spans="1:15" ht="17.5" x14ac:dyDescent="0.25">
      <c r="B2" s="28" t="s">
        <v>26</v>
      </c>
    </row>
    <row r="5" spans="1:15" ht="18" thickBot="1" x14ac:dyDescent="0.4">
      <c r="A5" s="1"/>
      <c r="B5" s="1" t="s">
        <v>25</v>
      </c>
    </row>
    <row r="6" spans="1:15" ht="13.5" thickBot="1" x14ac:dyDescent="0.35">
      <c r="A6" s="2"/>
      <c r="B6" s="3" t="s">
        <v>0</v>
      </c>
      <c r="C6" s="4" t="s">
        <v>1</v>
      </c>
      <c r="D6" s="5" t="s">
        <v>2</v>
      </c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6" t="s">
        <v>12</v>
      </c>
      <c r="O6" s="7" t="s">
        <v>13</v>
      </c>
    </row>
    <row r="7" spans="1:15" x14ac:dyDescent="0.25">
      <c r="A7" s="8" t="s">
        <v>14</v>
      </c>
      <c r="B7" s="9" t="s">
        <v>15</v>
      </c>
      <c r="C7" s="10">
        <v>2250</v>
      </c>
      <c r="D7" s="11">
        <f t="shared" ref="D7:N7" si="0">C15</f>
        <v>3100</v>
      </c>
      <c r="E7" s="11">
        <f t="shared" si="0"/>
        <v>3550</v>
      </c>
      <c r="F7" s="11">
        <f t="shared" si="0"/>
        <v>4675</v>
      </c>
      <c r="G7" s="11">
        <f t="shared" si="0"/>
        <v>4800</v>
      </c>
      <c r="H7" s="11">
        <f t="shared" si="0"/>
        <v>4925</v>
      </c>
      <c r="I7" s="11">
        <f t="shared" si="0"/>
        <v>5050</v>
      </c>
      <c r="J7" s="11">
        <f t="shared" si="0"/>
        <v>4500</v>
      </c>
      <c r="K7" s="11">
        <f t="shared" si="0"/>
        <v>3950</v>
      </c>
      <c r="L7" s="11">
        <f t="shared" si="0"/>
        <v>4300</v>
      </c>
      <c r="M7" s="11">
        <f t="shared" si="0"/>
        <v>4650</v>
      </c>
      <c r="N7" s="11">
        <f t="shared" si="0"/>
        <v>5000</v>
      </c>
      <c r="O7" s="12"/>
    </row>
    <row r="8" spans="1:15" x14ac:dyDescent="0.25">
      <c r="A8" s="13" t="s">
        <v>14</v>
      </c>
      <c r="B8" s="14" t="s">
        <v>16</v>
      </c>
      <c r="C8" s="36">
        <v>5000</v>
      </c>
      <c r="D8" s="37">
        <v>3000</v>
      </c>
      <c r="E8" s="37">
        <v>4500</v>
      </c>
      <c r="F8" s="37">
        <v>4500</v>
      </c>
      <c r="G8" s="37">
        <v>4500</v>
      </c>
      <c r="H8" s="37">
        <v>4500</v>
      </c>
      <c r="I8" s="37">
        <v>3000</v>
      </c>
      <c r="J8" s="37">
        <v>3000</v>
      </c>
      <c r="K8" s="37">
        <v>5000</v>
      </c>
      <c r="L8" s="37">
        <v>5000</v>
      </c>
      <c r="M8" s="37">
        <v>5000</v>
      </c>
      <c r="N8" s="38">
        <v>2500</v>
      </c>
      <c r="O8" s="15">
        <f t="shared" ref="O8:O14" si="1">SUM(C8:N8)</f>
        <v>49500</v>
      </c>
    </row>
    <row r="9" spans="1:15" x14ac:dyDescent="0.25">
      <c r="A9" s="13" t="s">
        <v>14</v>
      </c>
      <c r="B9" s="23" t="s">
        <v>17</v>
      </c>
      <c r="C9" s="24"/>
      <c r="D9" s="25"/>
      <c r="E9" s="25">
        <v>9000</v>
      </c>
      <c r="F9" s="25"/>
      <c r="G9" s="25"/>
      <c r="H9" s="25"/>
      <c r="I9" s="25"/>
      <c r="J9" s="25"/>
      <c r="K9" s="25"/>
      <c r="L9" s="25"/>
      <c r="M9" s="25"/>
      <c r="N9" s="26"/>
      <c r="O9" s="15">
        <f t="shared" si="1"/>
        <v>9000</v>
      </c>
    </row>
    <row r="10" spans="1:15" x14ac:dyDescent="0.25">
      <c r="A10" s="13" t="s">
        <v>18</v>
      </c>
      <c r="B10" s="23" t="s">
        <v>19</v>
      </c>
      <c r="C10" s="24">
        <v>900</v>
      </c>
      <c r="D10" s="25">
        <v>900</v>
      </c>
      <c r="E10" s="25">
        <v>900</v>
      </c>
      <c r="F10" s="25">
        <v>900</v>
      </c>
      <c r="G10" s="25">
        <v>900</v>
      </c>
      <c r="H10" s="25">
        <v>900</v>
      </c>
      <c r="I10" s="25">
        <v>900</v>
      </c>
      <c r="J10" s="25">
        <v>900</v>
      </c>
      <c r="K10" s="25">
        <v>900</v>
      </c>
      <c r="L10" s="25">
        <v>900</v>
      </c>
      <c r="M10" s="25">
        <v>900</v>
      </c>
      <c r="N10" s="26">
        <v>900</v>
      </c>
      <c r="O10" s="32">
        <f t="shared" si="1"/>
        <v>10800</v>
      </c>
    </row>
    <row r="11" spans="1:15" x14ac:dyDescent="0.25">
      <c r="A11" s="13" t="s">
        <v>18</v>
      </c>
      <c r="B11" s="14" t="s">
        <v>20</v>
      </c>
      <c r="C11" s="36">
        <v>2750</v>
      </c>
      <c r="D11" s="37">
        <v>1650</v>
      </c>
      <c r="E11" s="37">
        <v>2475</v>
      </c>
      <c r="F11" s="37">
        <v>2475</v>
      </c>
      <c r="G11" s="37">
        <v>2475</v>
      </c>
      <c r="H11" s="37">
        <v>2475</v>
      </c>
      <c r="I11" s="37">
        <v>1650</v>
      </c>
      <c r="J11" s="37">
        <v>1650</v>
      </c>
      <c r="K11" s="37">
        <v>2750</v>
      </c>
      <c r="L11" s="37">
        <v>2750</v>
      </c>
      <c r="M11" s="37">
        <v>2750</v>
      </c>
      <c r="N11" s="38">
        <v>1375</v>
      </c>
      <c r="O11" s="32">
        <f t="shared" si="1"/>
        <v>27225</v>
      </c>
    </row>
    <row r="12" spans="1:15" x14ac:dyDescent="0.25">
      <c r="A12" s="13" t="s">
        <v>18</v>
      </c>
      <c r="B12" s="23" t="s">
        <v>21</v>
      </c>
      <c r="C12" s="24">
        <v>500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6"/>
      <c r="O12" s="32">
        <f t="shared" si="1"/>
        <v>500</v>
      </c>
    </row>
    <row r="13" spans="1:15" x14ac:dyDescent="0.25">
      <c r="A13" s="13" t="s">
        <v>18</v>
      </c>
      <c r="B13" s="23" t="s">
        <v>22</v>
      </c>
      <c r="C13" s="24"/>
      <c r="D13" s="25"/>
      <c r="E13" s="25">
        <v>9000</v>
      </c>
      <c r="F13" s="25"/>
      <c r="G13" s="25"/>
      <c r="H13" s="25"/>
      <c r="I13" s="25"/>
      <c r="J13" s="25"/>
      <c r="K13" s="25"/>
      <c r="L13" s="25"/>
      <c r="M13" s="25"/>
      <c r="N13" s="26"/>
      <c r="O13" s="32">
        <f t="shared" si="1"/>
        <v>9000</v>
      </c>
    </row>
    <row r="14" spans="1:15" x14ac:dyDescent="0.25">
      <c r="A14" s="13" t="s">
        <v>18</v>
      </c>
      <c r="B14" s="23" t="s">
        <v>23</v>
      </c>
      <c r="C14" s="24"/>
      <c r="D14" s="25"/>
      <c r="E14" s="25"/>
      <c r="F14" s="25">
        <v>1000</v>
      </c>
      <c r="G14" s="25">
        <v>1000</v>
      </c>
      <c r="H14" s="25">
        <v>1000</v>
      </c>
      <c r="I14" s="25">
        <v>1000</v>
      </c>
      <c r="J14" s="25">
        <v>1000</v>
      </c>
      <c r="K14" s="25">
        <v>1000</v>
      </c>
      <c r="L14" s="25">
        <v>1000</v>
      </c>
      <c r="M14" s="25">
        <v>1000</v>
      </c>
      <c r="N14" s="26">
        <v>1593</v>
      </c>
      <c r="O14" s="32">
        <f t="shared" si="1"/>
        <v>9593</v>
      </c>
    </row>
    <row r="15" spans="1:15" ht="13" thickBot="1" x14ac:dyDescent="0.3">
      <c r="A15" s="19"/>
      <c r="B15" s="33" t="s">
        <v>24</v>
      </c>
      <c r="C15" s="39">
        <f t="shared" ref="C15:N15" si="2">C7+C8+C9-C10-C11-C12-C13-C14</f>
        <v>3100</v>
      </c>
      <c r="D15" s="39">
        <f t="shared" si="2"/>
        <v>3550</v>
      </c>
      <c r="E15" s="39">
        <f t="shared" si="2"/>
        <v>4675</v>
      </c>
      <c r="F15" s="39">
        <f t="shared" si="2"/>
        <v>4800</v>
      </c>
      <c r="G15" s="39">
        <f t="shared" si="2"/>
        <v>4925</v>
      </c>
      <c r="H15" s="39">
        <f t="shared" si="2"/>
        <v>5050</v>
      </c>
      <c r="I15" s="39">
        <f t="shared" si="2"/>
        <v>4500</v>
      </c>
      <c r="J15" s="39">
        <f t="shared" si="2"/>
        <v>3950</v>
      </c>
      <c r="K15" s="39">
        <f t="shared" si="2"/>
        <v>4300</v>
      </c>
      <c r="L15" s="39">
        <f t="shared" si="2"/>
        <v>4650</v>
      </c>
      <c r="M15" s="39">
        <f t="shared" si="2"/>
        <v>5000</v>
      </c>
      <c r="N15" s="39">
        <f t="shared" si="2"/>
        <v>3632</v>
      </c>
      <c r="O15" s="35"/>
    </row>
  </sheetData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14"/>
  <sheetViews>
    <sheetView workbookViewId="0">
      <selection activeCell="G19" sqref="G19"/>
    </sheetView>
  </sheetViews>
  <sheetFormatPr defaultRowHeight="12.5" x14ac:dyDescent="0.25"/>
  <cols>
    <col min="2" max="2" width="14" customWidth="1"/>
    <col min="3" max="6" width="10.453125" customWidth="1"/>
  </cols>
  <sheetData>
    <row r="2" spans="1:6" ht="25.75" customHeight="1" x14ac:dyDescent="0.25">
      <c r="A2" s="28" t="s">
        <v>26</v>
      </c>
    </row>
    <row r="4" spans="1:6" ht="14.5" customHeight="1" x14ac:dyDescent="0.4">
      <c r="A4" s="72" t="s">
        <v>27</v>
      </c>
      <c r="B4" s="72"/>
      <c r="C4" s="72"/>
      <c r="D4" s="72"/>
      <c r="E4" s="72"/>
      <c r="F4" s="72"/>
    </row>
    <row r="5" spans="1:6" ht="13" thickBot="1" x14ac:dyDescent="0.3">
      <c r="A5" s="40"/>
      <c r="B5" s="40"/>
      <c r="C5" s="40"/>
      <c r="D5" s="40"/>
      <c r="E5" s="40"/>
      <c r="F5" s="40"/>
    </row>
    <row r="6" spans="1:6" x14ac:dyDescent="0.25">
      <c r="A6" s="73" t="s">
        <v>28</v>
      </c>
      <c r="B6" s="74"/>
      <c r="C6" s="41"/>
      <c r="D6" s="41" t="s">
        <v>29</v>
      </c>
      <c r="E6" s="41"/>
      <c r="F6" s="79" t="s">
        <v>30</v>
      </c>
    </row>
    <row r="7" spans="1:6" x14ac:dyDescent="0.25">
      <c r="A7" s="75"/>
      <c r="B7" s="76"/>
      <c r="C7" s="42" t="s">
        <v>31</v>
      </c>
      <c r="D7" s="43" t="s">
        <v>32</v>
      </c>
      <c r="E7" s="44" t="s">
        <v>33</v>
      </c>
      <c r="F7" s="80"/>
    </row>
    <row r="8" spans="1:6" x14ac:dyDescent="0.25">
      <c r="A8" s="75"/>
      <c r="B8" s="76"/>
      <c r="C8" s="42"/>
      <c r="D8" s="43" t="s">
        <v>34</v>
      </c>
      <c r="E8" s="44"/>
      <c r="F8" s="80"/>
    </row>
    <row r="9" spans="1:6" ht="13" thickBot="1" x14ac:dyDescent="0.3">
      <c r="A9" s="77"/>
      <c r="B9" s="78"/>
      <c r="C9" s="45">
        <v>2356</v>
      </c>
      <c r="D9" s="46">
        <v>1896</v>
      </c>
      <c r="E9" s="47">
        <v>2365</v>
      </c>
      <c r="F9" s="81"/>
    </row>
    <row r="10" spans="1:6" ht="13" thickTop="1" x14ac:dyDescent="0.25">
      <c r="A10" s="48" t="s">
        <v>16</v>
      </c>
      <c r="B10" s="49"/>
      <c r="C10" s="50">
        <v>353400</v>
      </c>
      <c r="D10" s="51">
        <v>379200</v>
      </c>
      <c r="E10" s="52">
        <v>520300</v>
      </c>
      <c r="F10" s="53">
        <f>C10+D10+E10</f>
        <v>1252900</v>
      </c>
    </row>
    <row r="11" spans="1:6" x14ac:dyDescent="0.25">
      <c r="A11" s="82" t="s">
        <v>35</v>
      </c>
      <c r="B11" s="54" t="s">
        <v>36</v>
      </c>
      <c r="C11" s="55">
        <v>210000</v>
      </c>
      <c r="D11" s="56">
        <v>150000</v>
      </c>
      <c r="E11" s="57">
        <v>210000</v>
      </c>
      <c r="F11" s="58">
        <f>C11+D11+E11</f>
        <v>570000</v>
      </c>
    </row>
    <row r="12" spans="1:6" x14ac:dyDescent="0.25">
      <c r="A12" s="83"/>
      <c r="B12" s="54" t="s">
        <v>37</v>
      </c>
      <c r="C12" s="55">
        <v>40000</v>
      </c>
      <c r="D12" s="56">
        <v>75000</v>
      </c>
      <c r="E12" s="57">
        <v>105000</v>
      </c>
      <c r="F12" s="58">
        <f>C12+D12+E12</f>
        <v>220000</v>
      </c>
    </row>
    <row r="13" spans="1:6" x14ac:dyDescent="0.25">
      <c r="A13" s="84"/>
      <c r="B13" s="54" t="s">
        <v>38</v>
      </c>
      <c r="C13" s="55">
        <v>75000</v>
      </c>
      <c r="D13" s="56">
        <v>80000</v>
      </c>
      <c r="E13" s="57">
        <v>160000</v>
      </c>
      <c r="F13" s="58">
        <f>C13+D13+E13</f>
        <v>315000</v>
      </c>
    </row>
    <row r="14" spans="1:6" ht="13" thickBot="1" x14ac:dyDescent="0.3">
      <c r="A14" s="59" t="s">
        <v>39</v>
      </c>
      <c r="B14" s="60"/>
      <c r="C14" s="61">
        <f>C10-C11-C12-C13</f>
        <v>28400</v>
      </c>
      <c r="D14" s="61">
        <f>D10-D11-D12-D13</f>
        <v>74200</v>
      </c>
      <c r="E14" s="62">
        <f>E10-E11-E12-E13</f>
        <v>45300</v>
      </c>
      <c r="F14" s="63">
        <f>F10-F11-F12-F13</f>
        <v>147900</v>
      </c>
    </row>
  </sheetData>
  <mergeCells count="4">
    <mergeCell ref="A4:F4"/>
    <mergeCell ref="A6:B9"/>
    <mergeCell ref="F6:F9"/>
    <mergeCell ref="A11:A13"/>
  </mergeCells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4"/>
  <sheetViews>
    <sheetView workbookViewId="0">
      <selection activeCell="F6" sqref="F6"/>
    </sheetView>
  </sheetViews>
  <sheetFormatPr defaultRowHeight="12.5" x14ac:dyDescent="0.25"/>
  <sheetData>
    <row r="2" spans="1:4" ht="17.5" x14ac:dyDescent="0.25">
      <c r="A2" s="28" t="s">
        <v>26</v>
      </c>
    </row>
    <row r="4" spans="1:4" ht="13" thickBot="1" x14ac:dyDescent="0.3"/>
    <row r="5" spans="1:4" ht="26" x14ac:dyDescent="0.3">
      <c r="B5" s="64" t="s">
        <v>40</v>
      </c>
      <c r="C5" s="65" t="s">
        <v>41</v>
      </c>
      <c r="D5" s="66" t="s">
        <v>42</v>
      </c>
    </row>
    <row r="6" spans="1:4" x14ac:dyDescent="0.25">
      <c r="B6" s="67" t="s">
        <v>43</v>
      </c>
      <c r="C6" s="68">
        <v>48</v>
      </c>
      <c r="D6" s="69">
        <v>5000</v>
      </c>
    </row>
    <row r="7" spans="1:4" x14ac:dyDescent="0.25">
      <c r="B7" s="67" t="s">
        <v>44</v>
      </c>
      <c r="C7" s="68">
        <v>99</v>
      </c>
      <c r="D7" s="69">
        <v>11900</v>
      </c>
    </row>
    <row r="8" spans="1:4" x14ac:dyDescent="0.25">
      <c r="B8" s="67" t="s">
        <v>45</v>
      </c>
      <c r="C8" s="68">
        <v>150</v>
      </c>
      <c r="D8" s="69">
        <v>12600</v>
      </c>
    </row>
    <row r="9" spans="1:4" x14ac:dyDescent="0.25">
      <c r="B9" s="67" t="s">
        <v>46</v>
      </c>
      <c r="C9" s="68">
        <v>225</v>
      </c>
      <c r="D9" s="69">
        <v>6000</v>
      </c>
    </row>
    <row r="10" spans="1:4" x14ac:dyDescent="0.25">
      <c r="B10" s="67" t="s">
        <v>47</v>
      </c>
      <c r="C10" s="68">
        <v>400</v>
      </c>
      <c r="D10" s="69">
        <v>147000</v>
      </c>
    </row>
    <row r="11" spans="1:4" x14ac:dyDescent="0.25">
      <c r="B11" s="67" t="s">
        <v>48</v>
      </c>
      <c r="C11" s="68">
        <v>500</v>
      </c>
      <c r="D11" s="69">
        <v>85000</v>
      </c>
    </row>
    <row r="12" spans="1:4" x14ac:dyDescent="0.25">
      <c r="B12" s="67" t="s">
        <v>49</v>
      </c>
      <c r="C12" s="68">
        <v>600</v>
      </c>
      <c r="D12" s="69">
        <v>65000</v>
      </c>
    </row>
    <row r="13" spans="1:4" x14ac:dyDescent="0.25">
      <c r="B13" s="67" t="s">
        <v>50</v>
      </c>
      <c r="C13" s="68">
        <v>800</v>
      </c>
      <c r="D13" s="69">
        <v>60000</v>
      </c>
    </row>
    <row r="14" spans="1:4" ht="13" thickBot="1" x14ac:dyDescent="0.3">
      <c r="B14" s="19" t="s">
        <v>51</v>
      </c>
      <c r="C14" s="70">
        <v>1200</v>
      </c>
      <c r="D14" s="71">
        <v>1500</v>
      </c>
    </row>
  </sheetData>
  <pageMargins left="0.78740157499999996" right="0.78740157499999996" top="0.984251969" bottom="0.984251969" header="0.4921259845" footer="0.492125984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5</vt:i4>
      </vt:variant>
    </vt:vector>
  </HeadingPairs>
  <TitlesOfParts>
    <vt:vector size="5" baseType="lpstr">
      <vt:lpstr>Výsečový graf</vt:lpstr>
      <vt:lpstr>Spojnicový graf</vt:lpstr>
      <vt:lpstr>2D Sloupcový graf</vt:lpstr>
      <vt:lpstr>3D sloupcový graf</vt:lpstr>
      <vt:lpstr>Bublinový graf</vt:lpstr>
    </vt:vector>
  </TitlesOfParts>
  <Company>známá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Andulka</dc:creator>
  <cp:lastModifiedBy>Votavová Gabriela</cp:lastModifiedBy>
  <dcterms:created xsi:type="dcterms:W3CDTF">2003-09-20T08:16:08Z</dcterms:created>
  <dcterms:modified xsi:type="dcterms:W3CDTF">2021-10-19T09:19:47Z</dcterms:modified>
</cp:coreProperties>
</file>