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taga\Documents\DATA\INFORMATIKA\Excel\"/>
    </mc:Choice>
  </mc:AlternateContent>
  <xr:revisionPtr revIDLastSave="0" documentId="13_ncr:1_{90F79996-0BD9-4029-BB06-6F15A35EE0A3}" xr6:coauthVersionLast="36" xr6:coauthVersionMax="36" xr10:uidLastSave="{00000000-0000-0000-0000-000000000000}"/>
  <bookViews>
    <workbookView xWindow="0" yWindow="0" windowWidth="19200" windowHeight="6930" activeTab="2" xr2:uid="{00000000-000D-0000-FFFF-FFFF00000000}"/>
  </bookViews>
  <sheets>
    <sheet name="řazení" sheetId="1" r:id="rId1"/>
    <sheet name="nahraď" sheetId="2" r:id="rId2"/>
    <sheet name="podmine form-lehké" sheetId="4" r:id="rId3"/>
    <sheet name="podmíněné fomátování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2" i="4" l="1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</calcChain>
</file>

<file path=xl/sharedStrings.xml><?xml version="1.0" encoding="utf-8"?>
<sst xmlns="http://schemas.openxmlformats.org/spreadsheetml/2006/main" count="131" uniqueCount="111">
  <si>
    <t>Seřaď slova podle abecedy:</t>
  </si>
  <si>
    <t>kytara</t>
  </si>
  <si>
    <t>květina</t>
  </si>
  <si>
    <t>kniha</t>
  </si>
  <si>
    <t>chata</t>
  </si>
  <si>
    <t>fialka</t>
  </si>
  <si>
    <t>citron</t>
  </si>
  <si>
    <t>cihla</t>
  </si>
  <si>
    <t>boty</t>
  </si>
  <si>
    <t>loď</t>
  </si>
  <si>
    <t>máslo</t>
  </si>
  <si>
    <t>mrkev</t>
  </si>
  <si>
    <t>nůž</t>
  </si>
  <si>
    <t>šroub</t>
  </si>
  <si>
    <t>sešit</t>
  </si>
  <si>
    <t>ponorka</t>
  </si>
  <si>
    <t>pivo</t>
  </si>
  <si>
    <t>ocel</t>
  </si>
  <si>
    <t>žížala</t>
  </si>
  <si>
    <t>zábradlí</t>
  </si>
  <si>
    <t>tužka</t>
  </si>
  <si>
    <t>trávník</t>
  </si>
  <si>
    <t>tenisky</t>
  </si>
  <si>
    <r>
      <t xml:space="preserve">Seřaď položky tabulky podle </t>
    </r>
    <r>
      <rPr>
        <b/>
        <sz val="10"/>
        <color indexed="12"/>
        <rFont val="Arial"/>
        <family val="2"/>
        <charset val="238"/>
      </rPr>
      <t>názvu zboží</t>
    </r>
    <r>
      <rPr>
        <b/>
        <sz val="10"/>
        <color indexed="10"/>
        <rFont val="Arial"/>
        <family val="2"/>
        <charset val="238"/>
      </rPr>
      <t xml:space="preserve"> vzestupně :</t>
    </r>
  </si>
  <si>
    <r>
      <t xml:space="preserve">Seřaď položky tabulky podle </t>
    </r>
    <r>
      <rPr>
        <b/>
        <sz val="10"/>
        <color indexed="12"/>
        <rFont val="Arial"/>
        <family val="2"/>
        <charset val="238"/>
      </rPr>
      <t>počtu kusů</t>
    </r>
    <r>
      <rPr>
        <b/>
        <sz val="10"/>
        <color indexed="10"/>
        <rFont val="Arial"/>
        <family val="2"/>
        <charset val="238"/>
      </rPr>
      <t xml:space="preserve"> sestupně :</t>
    </r>
  </si>
  <si>
    <t>název zboží</t>
  </si>
  <si>
    <t>počet ks</t>
  </si>
  <si>
    <t>cena/kus</t>
  </si>
  <si>
    <t>cena celkem</t>
  </si>
  <si>
    <t>židle čalouněná</t>
  </si>
  <si>
    <t>kalendář nástěnný</t>
  </si>
  <si>
    <t>stůl dřevěný</t>
  </si>
  <si>
    <t>kancelářské sponky-sada</t>
  </si>
  <si>
    <t>příbory-sada</t>
  </si>
  <si>
    <t xml:space="preserve">křeslo kožené </t>
  </si>
  <si>
    <t xml:space="preserve">květináč </t>
  </si>
  <si>
    <t>lepidlo kancelářské</t>
  </si>
  <si>
    <t>nůžky</t>
  </si>
  <si>
    <t>průpiska dvoubarevná</t>
  </si>
  <si>
    <t>pravítko 20 cm</t>
  </si>
  <si>
    <t>utěrka bavlněná</t>
  </si>
  <si>
    <t>toaletní papír</t>
  </si>
  <si>
    <t>ručník froté</t>
  </si>
  <si>
    <t>ventilátor stolní</t>
  </si>
  <si>
    <t>chléb</t>
  </si>
  <si>
    <t>slanina</t>
  </si>
  <si>
    <t>zelenina</t>
  </si>
  <si>
    <t>maso</t>
  </si>
  <si>
    <t>uzeniny</t>
  </si>
  <si>
    <t>naběračka</t>
  </si>
  <si>
    <t>příbor</t>
  </si>
  <si>
    <t>ubrus</t>
  </si>
  <si>
    <t>kofola</t>
  </si>
  <si>
    <t>popelník</t>
  </si>
  <si>
    <t>rohlík</t>
  </si>
  <si>
    <t>teploměr</t>
  </si>
  <si>
    <t>koření</t>
  </si>
  <si>
    <t>voda</t>
  </si>
  <si>
    <t>telefon</t>
  </si>
  <si>
    <t>klíče</t>
  </si>
  <si>
    <t>záporné čísla (buňka světlé modrá), 
nula (světlé žlutá), 
kladná hodnota (buňka červená</t>
  </si>
  <si>
    <t>Naformátujte tabulku pomocí podmíněného formátování:</t>
  </si>
  <si>
    <t>Ma</t>
  </si>
  <si>
    <t>ČJ</t>
  </si>
  <si>
    <t>Fy</t>
  </si>
  <si>
    <t>Karel Nový</t>
  </si>
  <si>
    <t>Hana Černá</t>
  </si>
  <si>
    <t>Václav Havel</t>
  </si>
  <si>
    <t>Daniel Landa</t>
  </si>
  <si>
    <t>František Horák</t>
  </si>
  <si>
    <t>Petr Jan</t>
  </si>
  <si>
    <t>Jan Petr</t>
  </si>
  <si>
    <t>Jana Budilová</t>
  </si>
  <si>
    <t>Petra Kačerová</t>
  </si>
  <si>
    <t>Pokusná tabulka</t>
  </si>
  <si>
    <t>peníze rodiče</t>
  </si>
  <si>
    <t>peníze babička</t>
  </si>
  <si>
    <t>brigáda</t>
  </si>
  <si>
    <t>Celkový součet</t>
  </si>
  <si>
    <t>leden</t>
  </si>
  <si>
    <t>únor</t>
  </si>
  <si>
    <t>březen</t>
  </si>
  <si>
    <t>duben</t>
  </si>
  <si>
    <t>květen</t>
  </si>
  <si>
    <t>červen</t>
  </si>
  <si>
    <t>červenec</t>
  </si>
  <si>
    <t>Nafromátujete dle obrázku</t>
  </si>
  <si>
    <t>Prodeje osobních počítačů v roce 2008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</si>
  <si>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</si>
  <si>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</si>
  <si>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</si>
  <si>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</si>
  <si>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</si>
  <si>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</si>
  <si>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</si>
  <si>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</si>
  <si>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Ostrava</t>
  </si>
  <si>
    <t>Brno</t>
  </si>
  <si>
    <t>Praha</t>
  </si>
  <si>
    <t>Pardubice</t>
  </si>
  <si>
    <t>Olomouc</t>
  </si>
  <si>
    <t>Hradec Králové</t>
  </si>
  <si>
    <r>
      <t>Příkaz Format/Podmíněné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>formátování</t>
    </r>
  </si>
  <si>
    <t>na charitu</t>
  </si>
  <si>
    <t>Nahraď A za á</t>
  </si>
  <si>
    <t>mAslo</t>
  </si>
  <si>
    <t>minerAlka</t>
  </si>
  <si>
    <t>šAtek</t>
  </si>
  <si>
    <t>Nastavte podmínku, pokud některý z žáků dostane z kteréhokoliv předmětu za 4 nebo 5, jeho známka bude svítit červeně.</t>
  </si>
  <si>
    <t>Nafromátujete dle zadání:</t>
  </si>
  <si>
    <t>pokud se prodalo víc než 500 - žlutě;                                               pokud se v měsíci prodalo více než 1000 počítačů - modře; 
pokud se prodalo míň než 500 - červeně.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</si>
</sst>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1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12"/>
      <name val="Arial"/>
      <family val="2"/>
      <charset val="238"/>
    </font>
    <font>
      <b/>
      <sz val="12"/>
      <color indexed="12"/>
      <name val="Arial"/>
      <family val="2"/>
      <charset val="238"/>
    </font>
    <font>
      <b/>
      <sz val="10"/>
      <color indexed="11"/>
      <name val="Arial"/>
      <family val="2"/>
      <charset val="238"/>
    </font>
    <font>
      <b/>
      <sz val="12"/>
      <color indexed="11"/>
      <name val="Arial"/>
      <family val="2"/>
      <charset val="238"/>
    </font>
    <font>
      <sz val="1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name val="Arial CE"/>
      <charset val="238"/>
    </font>
    <font>
      <u/>
      <sz val="10"/>
      <color indexed="12"/>
      <name val="Arial CE"/>
      <charset val="238"/>
    </font>
    <font>
      <b/>
      <sz val="10"/>
      <color rgb="FFFF0000"/>
      <name val="Arial CE"/>
      <charset val="238"/>
    </font>
    <font>
      <b/>
      <sz val="11"/>
      <color rgb="FFFF0000"/>
      <name val="Calibri"/>
      <family val="2"/>
      <charset val="238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5" fillId="0" borderId="0" xfId="1" applyFont="1"/>
    <xf numFmtId="0" fontId="1" fillId="2" borderId="16" xfId="1" applyFill="1" applyBorder="1"/>
    <xf numFmtId="0" fontId="1" fillId="2" borderId="20" xfId="1" applyFill="1" applyBorder="1"/>
    <xf numFmtId="0" fontId="1" fillId="2" borderId="21" xfId="1" applyFill="1" applyBorder="1"/>
    <xf numFmtId="0" fontId="1" fillId="0" borderId="0" xfId="1"/>
    <xf numFmtId="0" fontId="2" fillId="0" borderId="1" xfId="1" applyFont="1" applyBorder="1" applyAlignment="1">
      <alignment horizontal="center"/>
    </xf>
    <xf numFmtId="44" fontId="2" fillId="0" borderId="1" xfId="2" applyFont="1" applyBorder="1"/>
    <xf numFmtId="0" fontId="3" fillId="2" borderId="1" xfId="1" applyFont="1" applyFill="1" applyBorder="1" applyAlignment="1">
      <alignment horizontal="center"/>
    </xf>
    <xf numFmtId="0" fontId="5" fillId="0" borderId="0" xfId="1" applyFont="1"/>
    <xf numFmtId="0" fontId="2" fillId="0" borderId="9" xfId="1" applyFont="1" applyBorder="1" applyAlignment="1">
      <alignment horizontal="center"/>
    </xf>
    <xf numFmtId="44" fontId="2" fillId="0" borderId="9" xfId="2" applyFont="1" applyBorder="1"/>
    <xf numFmtId="0" fontId="3" fillId="2" borderId="7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 wrapText="1"/>
    </xf>
    <xf numFmtId="0" fontId="3" fillId="2" borderId="8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44" fontId="8" fillId="0" borderId="1" xfId="2" applyFont="1" applyBorder="1"/>
    <xf numFmtId="0" fontId="4" fillId="0" borderId="1" xfId="1" applyFont="1" applyBorder="1" applyAlignment="1">
      <alignment horizontal="center"/>
    </xf>
    <xf numFmtId="44" fontId="4" fillId="0" borderId="1" xfId="2" applyFont="1" applyBorder="1"/>
    <xf numFmtId="0" fontId="10" fillId="2" borderId="1" xfId="1" applyFont="1" applyFill="1" applyBorder="1" applyAlignment="1">
      <alignment horizontal="center"/>
    </xf>
    <xf numFmtId="44" fontId="10" fillId="0" borderId="1" xfId="2" applyFont="1" applyBorder="1"/>
    <xf numFmtId="0" fontId="8" fillId="2" borderId="1" xfId="1" applyFont="1" applyFill="1" applyBorder="1" applyAlignment="1">
      <alignment horizontal="center"/>
    </xf>
    <xf numFmtId="0" fontId="1" fillId="0" borderId="11" xfId="1" applyFont="1" applyBorder="1"/>
    <xf numFmtId="0" fontId="6" fillId="2" borderId="22" xfId="1" applyFont="1" applyFill="1" applyBorder="1"/>
    <xf numFmtId="44" fontId="2" fillId="0" borderId="23" xfId="2" applyFont="1" applyFill="1" applyBorder="1"/>
    <xf numFmtId="0" fontId="6" fillId="2" borderId="11" xfId="1" applyFont="1" applyFill="1" applyBorder="1"/>
    <xf numFmtId="44" fontId="2" fillId="0" borderId="12" xfId="2" applyFont="1" applyFill="1" applyBorder="1"/>
    <xf numFmtId="0" fontId="7" fillId="2" borderId="11" xfId="1" applyFont="1" applyFill="1" applyBorder="1"/>
    <xf numFmtId="44" fontId="8" fillId="0" borderId="12" xfId="2" applyFont="1" applyFill="1" applyBorder="1"/>
    <xf numFmtId="0" fontId="5" fillId="2" borderId="11" xfId="1" applyFont="1" applyFill="1" applyBorder="1"/>
    <xf numFmtId="44" fontId="4" fillId="0" borderId="12" xfId="2" applyFont="1" applyFill="1" applyBorder="1"/>
    <xf numFmtId="0" fontId="6" fillId="2" borderId="13" xfId="1" applyFont="1" applyFill="1" applyBorder="1"/>
    <xf numFmtId="0" fontId="2" fillId="0" borderId="15" xfId="1" applyFont="1" applyBorder="1" applyAlignment="1">
      <alignment horizontal="center"/>
    </xf>
    <xf numFmtId="44" fontId="2" fillId="0" borderId="15" xfId="2" applyFont="1" applyBorder="1"/>
    <xf numFmtId="44" fontId="2" fillId="0" borderId="14" xfId="2" applyFont="1" applyFill="1" applyBorder="1"/>
    <xf numFmtId="0" fontId="1" fillId="0" borderId="22" xfId="1" applyFont="1" applyBorder="1"/>
    <xf numFmtId="0" fontId="9" fillId="0" borderId="11" xfId="1" applyFont="1" applyBorder="1"/>
    <xf numFmtId="44" fontId="10" fillId="0" borderId="12" xfId="2" applyFont="1" applyFill="1" applyBorder="1"/>
    <xf numFmtId="0" fontId="7" fillId="0" borderId="11" xfId="1" applyFont="1" applyBorder="1"/>
    <xf numFmtId="0" fontId="1" fillId="0" borderId="13" xfId="1" applyFont="1" applyBorder="1"/>
    <xf numFmtId="0" fontId="3" fillId="2" borderId="15" xfId="1" applyFont="1" applyFill="1" applyBorder="1" applyAlignment="1">
      <alignment horizontal="center"/>
    </xf>
    <xf numFmtId="0" fontId="1" fillId="0" borderId="0" xfId="1"/>
    <xf numFmtId="0" fontId="1" fillId="3" borderId="1" xfId="1" applyFill="1" applyBorder="1"/>
    <xf numFmtId="44" fontId="1" fillId="3" borderId="1" xfId="2" applyFont="1" applyFill="1" applyBorder="1"/>
    <xf numFmtId="0" fontId="5" fillId="0" borderId="0" xfId="1" applyFont="1"/>
    <xf numFmtId="0" fontId="6" fillId="0" borderId="0" xfId="1" applyFont="1"/>
    <xf numFmtId="0" fontId="5" fillId="3" borderId="1" xfId="1" applyFont="1" applyFill="1" applyBorder="1"/>
    <xf numFmtId="44" fontId="5" fillId="3" borderId="1" xfId="2" applyFont="1" applyFill="1" applyBorder="1"/>
    <xf numFmtId="0" fontId="7" fillId="3" borderId="1" xfId="1" applyFont="1" applyFill="1" applyBorder="1"/>
    <xf numFmtId="44" fontId="7" fillId="3" borderId="1" xfId="2" applyFont="1" applyFill="1" applyBorder="1" applyAlignment="1">
      <alignment horizontal="left" indent="3"/>
    </xf>
    <xf numFmtId="0" fontId="13" fillId="0" borderId="1" xfId="3" applyBorder="1"/>
    <xf numFmtId="0" fontId="15" fillId="0" borderId="0" xfId="3" applyFont="1"/>
    <xf numFmtId="0" fontId="16" fillId="0" borderId="0" xfId="0" applyFont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4" xfId="0" applyFont="1" applyBorder="1"/>
    <xf numFmtId="0" fontId="11" fillId="0" borderId="2" xfId="0" applyFont="1" applyFill="1" applyBorder="1" applyAlignment="1">
      <alignment horizontal="right"/>
    </xf>
    <xf numFmtId="0" fontId="11" fillId="0" borderId="19" xfId="0" applyFont="1" applyFill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5" xfId="0" applyFont="1" applyBorder="1" applyAlignment="1">
      <alignment horizontal="right"/>
    </xf>
    <xf numFmtId="0" fontId="11" fillId="0" borderId="6" xfId="0" applyFont="1" applyFill="1" applyBorder="1" applyAlignment="1">
      <alignment horizontal="right"/>
    </xf>
    <xf numFmtId="0" fontId="11" fillId="0" borderId="5" xfId="0" applyFont="1" applyFill="1" applyBorder="1" applyAlignment="1">
      <alignment horizontal="right"/>
    </xf>
    <xf numFmtId="0" fontId="11" fillId="0" borderId="6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7" fillId="0" borderId="0" xfId="0" applyFont="1" applyBorder="1" applyAlignment="1">
      <alignment wrapText="1"/>
    </xf>
    <xf numFmtId="0" fontId="0" fillId="0" borderId="33" xfId="0" applyBorder="1"/>
    <xf numFmtId="1" fontId="0" fillId="0" borderId="34" xfId="0" applyNumberFormat="1" applyBorder="1"/>
    <xf numFmtId="1" fontId="0" fillId="0" borderId="35" xfId="0" applyNumberFormat="1" applyBorder="1"/>
    <xf numFmtId="0" fontId="0" fillId="0" borderId="11" xfId="0" applyBorder="1"/>
    <xf numFmtId="1" fontId="0" fillId="0" borderId="1" xfId="0" applyNumberFormat="1" applyBorder="1"/>
    <xf numFmtId="1" fontId="0" fillId="0" borderId="12" xfId="0" applyNumberFormat="1" applyBorder="1"/>
    <xf numFmtId="0" fontId="0" fillId="0" borderId="11" xfId="0" applyFill="1" applyBorder="1"/>
    <xf numFmtId="1" fontId="0" fillId="0" borderId="1" xfId="0" applyNumberFormat="1" applyFill="1" applyBorder="1"/>
    <xf numFmtId="1" fontId="0" fillId="0" borderId="12" xfId="0" applyNumberFormat="1" applyFill="1" applyBorder="1"/>
    <xf numFmtId="0" fontId="0" fillId="0" borderId="13" xfId="0" applyFill="1" applyBorder="1"/>
    <xf numFmtId="1" fontId="0" fillId="0" borderId="15" xfId="0" applyNumberFormat="1" applyFill="1" applyBorder="1"/>
    <xf numFmtId="1" fontId="0" fillId="0" borderId="14" xfId="0" applyNumberFormat="1" applyFill="1" applyBorder="1"/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0" fillId="0" borderId="38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2" fillId="0" borderId="0" xfId="0" applyFont="1" applyBorder="1" applyAlignment="1">
      <alignment horizontal="left" wrapText="1"/>
    </xf>
    <xf numFmtId="0" fontId="15" fillId="0" borderId="0" xfId="3" applyFont="1" applyAlignment="1">
      <alignment horizontal="left" vertical="center" wrapText="1"/>
    </xf>
  </cellXfs>
  <cellStyles count="5">
    <cellStyle name="Hypertextový odkaz 2" xfId="4" xr:uid="{00000000-0005-0000-0000-000000000000}"/>
    <cellStyle name="měny 2" xfId="2" xr:uid="{00000000-0005-0000-0000-000001000000}"/>
    <cellStyle name="Normální" xfId="0" builtinId="0"/>
    <cellStyle name="normální 2" xfId="1" xr:uid="{00000000-0005-0000-0000-000003000000}"/>
    <cellStyle name="normální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120738</xdr:colOff>
      <xdr:row>1</xdr:row>
      <xdr:rowOff>147571</xdr:rowOff>
    </xdr:from>
    <xdr:to>
      <xdr:col>21</xdr:col>
      <xdr:colOff>134153</xdr:colOff>
      <xdr:row>11</xdr:row>
      <xdr:rowOff>150641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31" t="20000" r="25000" b="50893"/>
        <a:stretch>
          <a:fillRect/>
        </a:stretch>
      </xdr:blipFill>
      <xdr:spPr bwMode="auto">
        <a:xfrm>
          <a:off x="7217534" y="335388"/>
          <a:ext cx="9068874" cy="21867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11</xdr:row>
      <xdr:rowOff>38100</xdr:rowOff>
    </xdr:from>
    <xdr:to>
      <xdr:col>0</xdr:col>
      <xdr:colOff>993401</xdr:colOff>
      <xdr:row>11</xdr:row>
      <xdr:rowOff>619125</xdr:rowOff>
    </xdr:to>
    <xdr:pic>
      <xdr:nvPicPr>
        <xdr:cNvPr id="3" name="Picture 1" descr="MCj03981570000[1]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2552700"/>
          <a:ext cx="888626" cy="581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workbookViewId="0">
      <selection activeCell="A3" sqref="A3"/>
    </sheetView>
  </sheetViews>
  <sheetFormatPr defaultRowHeight="14.5" x14ac:dyDescent="0.35"/>
  <cols>
    <col min="1" max="1" width="13.26953125" customWidth="1"/>
    <col min="4" max="4" width="22.1796875" customWidth="1"/>
    <col min="6" max="6" width="19.26953125" customWidth="1"/>
    <col min="7" max="7" width="17" customWidth="1"/>
    <col min="8" max="8" width="6.7265625" customWidth="1"/>
    <col min="9" max="9" width="23" customWidth="1"/>
    <col min="11" max="11" width="18.453125" customWidth="1"/>
    <col min="12" max="12" width="18.1796875" customWidth="1"/>
  </cols>
  <sheetData>
    <row r="1" spans="1:12" x14ac:dyDescent="0.35">
      <c r="A1" s="1" t="s">
        <v>0</v>
      </c>
      <c r="D1" s="9" t="s">
        <v>23</v>
      </c>
      <c r="E1" s="5"/>
      <c r="F1" s="5"/>
      <c r="G1" s="5"/>
      <c r="H1" s="5"/>
      <c r="I1" s="9" t="s">
        <v>24</v>
      </c>
      <c r="J1" s="5"/>
      <c r="K1" s="5"/>
      <c r="L1" s="5"/>
    </row>
    <row r="2" spans="1:12" ht="15" thickBot="1" x14ac:dyDescent="0.4">
      <c r="D2" s="5"/>
      <c r="E2" s="5"/>
      <c r="F2" s="5"/>
      <c r="G2" s="5"/>
      <c r="H2" s="5"/>
      <c r="I2" s="5"/>
      <c r="J2" s="5"/>
      <c r="K2" s="5"/>
      <c r="L2" s="5"/>
    </row>
    <row r="3" spans="1:12" ht="31.5" thickBot="1" x14ac:dyDescent="0.4">
      <c r="A3" s="2" t="s">
        <v>1</v>
      </c>
      <c r="D3" s="12" t="s">
        <v>25</v>
      </c>
      <c r="E3" s="13" t="s">
        <v>26</v>
      </c>
      <c r="F3" s="13" t="s">
        <v>27</v>
      </c>
      <c r="G3" s="14" t="s">
        <v>28</v>
      </c>
      <c r="H3" s="5"/>
      <c r="I3" s="12" t="s">
        <v>25</v>
      </c>
      <c r="J3" s="13" t="s">
        <v>26</v>
      </c>
      <c r="K3" s="13" t="s">
        <v>27</v>
      </c>
      <c r="L3" s="14" t="s">
        <v>28</v>
      </c>
    </row>
    <row r="4" spans="1:12" ht="15.5" x14ac:dyDescent="0.35">
      <c r="A4" s="3" t="s">
        <v>2</v>
      </c>
      <c r="D4" s="24" t="s">
        <v>29</v>
      </c>
      <c r="E4" s="10">
        <v>25</v>
      </c>
      <c r="F4" s="11">
        <v>950</v>
      </c>
      <c r="G4" s="25">
        <v>23750</v>
      </c>
      <c r="H4" s="5"/>
      <c r="I4" s="36" t="s">
        <v>30</v>
      </c>
      <c r="J4" s="15">
        <v>4</v>
      </c>
      <c r="K4" s="11">
        <v>150</v>
      </c>
      <c r="L4" s="25">
        <v>600</v>
      </c>
    </row>
    <row r="5" spans="1:12" ht="15.5" x14ac:dyDescent="0.35">
      <c r="A5" s="3" t="s">
        <v>3</v>
      </c>
      <c r="D5" s="26" t="s">
        <v>31</v>
      </c>
      <c r="E5" s="6">
        <v>13</v>
      </c>
      <c r="F5" s="7">
        <v>99</v>
      </c>
      <c r="G5" s="27">
        <v>1287</v>
      </c>
      <c r="H5" s="5"/>
      <c r="I5" s="23" t="s">
        <v>32</v>
      </c>
      <c r="J5" s="8">
        <v>10</v>
      </c>
      <c r="K5" s="7">
        <v>6.5</v>
      </c>
      <c r="L5" s="27">
        <v>65</v>
      </c>
    </row>
    <row r="6" spans="1:12" ht="15.5" x14ac:dyDescent="0.35">
      <c r="A6" s="3" t="s">
        <v>4</v>
      </c>
      <c r="D6" s="26" t="s">
        <v>33</v>
      </c>
      <c r="E6" s="6">
        <v>12</v>
      </c>
      <c r="F6" s="7">
        <v>2300</v>
      </c>
      <c r="G6" s="27">
        <v>27600</v>
      </c>
      <c r="H6" s="5"/>
      <c r="I6" s="23" t="s">
        <v>34</v>
      </c>
      <c r="J6" s="8">
        <v>13</v>
      </c>
      <c r="K6" s="7">
        <v>2100</v>
      </c>
      <c r="L6" s="27">
        <v>27300</v>
      </c>
    </row>
    <row r="7" spans="1:12" ht="15.5" x14ac:dyDescent="0.35">
      <c r="A7" s="3" t="s">
        <v>5</v>
      </c>
      <c r="D7" s="28" t="s">
        <v>35</v>
      </c>
      <c r="E7" s="16">
        <v>50</v>
      </c>
      <c r="F7" s="17">
        <v>12.5</v>
      </c>
      <c r="G7" s="29">
        <v>625</v>
      </c>
      <c r="H7" s="5"/>
      <c r="I7" s="23" t="s">
        <v>35</v>
      </c>
      <c r="J7" s="8">
        <v>50</v>
      </c>
      <c r="K7" s="7">
        <v>12.5</v>
      </c>
      <c r="L7" s="27">
        <v>625</v>
      </c>
    </row>
    <row r="8" spans="1:12" ht="15.5" x14ac:dyDescent="0.35">
      <c r="A8" s="3" t="s">
        <v>6</v>
      </c>
      <c r="D8" s="26" t="s">
        <v>36</v>
      </c>
      <c r="E8" s="6">
        <v>3</v>
      </c>
      <c r="F8" s="7">
        <v>15</v>
      </c>
      <c r="G8" s="27">
        <v>45</v>
      </c>
      <c r="H8" s="5"/>
      <c r="I8" s="23" t="s">
        <v>36</v>
      </c>
      <c r="J8" s="8">
        <v>3</v>
      </c>
      <c r="K8" s="7">
        <v>15</v>
      </c>
      <c r="L8" s="27">
        <v>45</v>
      </c>
    </row>
    <row r="9" spans="1:12" ht="15.5" x14ac:dyDescent="0.35">
      <c r="A9" s="3" t="s">
        <v>7</v>
      </c>
      <c r="D9" s="26" t="s">
        <v>37</v>
      </c>
      <c r="E9" s="6">
        <v>2</v>
      </c>
      <c r="F9" s="7">
        <v>56</v>
      </c>
      <c r="G9" s="27">
        <v>112</v>
      </c>
      <c r="H9" s="5"/>
      <c r="I9" s="23" t="s">
        <v>37</v>
      </c>
      <c r="J9" s="8">
        <v>1</v>
      </c>
      <c r="K9" s="7">
        <v>56</v>
      </c>
      <c r="L9" s="27">
        <v>56</v>
      </c>
    </row>
    <row r="10" spans="1:12" ht="15.5" x14ac:dyDescent="0.35">
      <c r="A10" s="3" t="s">
        <v>8</v>
      </c>
      <c r="D10" s="26" t="s">
        <v>38</v>
      </c>
      <c r="E10" s="6">
        <v>6</v>
      </c>
      <c r="F10" s="7">
        <v>16</v>
      </c>
      <c r="G10" s="27">
        <v>96</v>
      </c>
      <c r="H10" s="5"/>
      <c r="I10" s="37" t="s">
        <v>39</v>
      </c>
      <c r="J10" s="20">
        <v>7</v>
      </c>
      <c r="K10" s="21">
        <v>16</v>
      </c>
      <c r="L10" s="38">
        <v>112</v>
      </c>
    </row>
    <row r="11" spans="1:12" ht="15.5" x14ac:dyDescent="0.35">
      <c r="A11" s="3" t="s">
        <v>9</v>
      </c>
      <c r="D11" s="26" t="s">
        <v>40</v>
      </c>
      <c r="E11" s="6">
        <v>50</v>
      </c>
      <c r="F11" s="7">
        <v>22</v>
      </c>
      <c r="G11" s="27">
        <v>1100</v>
      </c>
      <c r="H11" s="5"/>
      <c r="I11" s="23" t="s">
        <v>38</v>
      </c>
      <c r="J11" s="8">
        <v>10</v>
      </c>
      <c r="K11" s="7">
        <v>16</v>
      </c>
      <c r="L11" s="27">
        <v>160</v>
      </c>
    </row>
    <row r="12" spans="1:12" ht="15.5" x14ac:dyDescent="0.35">
      <c r="A12" s="3" t="s">
        <v>10</v>
      </c>
      <c r="D12" s="26" t="s">
        <v>39</v>
      </c>
      <c r="E12" s="6">
        <v>3</v>
      </c>
      <c r="F12" s="7">
        <v>16</v>
      </c>
      <c r="G12" s="27">
        <v>48</v>
      </c>
      <c r="H12" s="5"/>
      <c r="I12" s="23" t="s">
        <v>33</v>
      </c>
      <c r="J12" s="8">
        <v>12</v>
      </c>
      <c r="K12" s="7">
        <v>2300</v>
      </c>
      <c r="L12" s="27">
        <v>27600</v>
      </c>
    </row>
    <row r="13" spans="1:12" ht="15.5" x14ac:dyDescent="0.35">
      <c r="A13" s="3" t="s">
        <v>11</v>
      </c>
      <c r="D13" s="26" t="s">
        <v>41</v>
      </c>
      <c r="E13" s="6">
        <v>50</v>
      </c>
      <c r="F13" s="7">
        <v>2.6</v>
      </c>
      <c r="G13" s="27">
        <v>130</v>
      </c>
      <c r="H13" s="5"/>
      <c r="I13" s="23" t="s">
        <v>42</v>
      </c>
      <c r="J13" s="8">
        <v>8</v>
      </c>
      <c r="K13" s="7">
        <v>110</v>
      </c>
      <c r="L13" s="27">
        <v>880</v>
      </c>
    </row>
    <row r="14" spans="1:12" ht="15.5" x14ac:dyDescent="0.35">
      <c r="A14" s="3" t="s">
        <v>12</v>
      </c>
      <c r="D14" s="30" t="s">
        <v>30</v>
      </c>
      <c r="E14" s="18">
        <v>4</v>
      </c>
      <c r="F14" s="19">
        <v>150</v>
      </c>
      <c r="G14" s="31">
        <v>600</v>
      </c>
      <c r="H14" s="5"/>
      <c r="I14" s="23" t="s">
        <v>31</v>
      </c>
      <c r="J14" s="8">
        <v>13</v>
      </c>
      <c r="K14" s="7">
        <v>99</v>
      </c>
      <c r="L14" s="27">
        <v>1287</v>
      </c>
    </row>
    <row r="15" spans="1:12" ht="15.5" x14ac:dyDescent="0.35">
      <c r="A15" s="3" t="s">
        <v>13</v>
      </c>
      <c r="D15" s="26" t="s">
        <v>32</v>
      </c>
      <c r="E15" s="6">
        <v>10</v>
      </c>
      <c r="F15" s="7">
        <v>6.5</v>
      </c>
      <c r="G15" s="27">
        <v>65</v>
      </c>
      <c r="H15" s="5"/>
      <c r="I15" s="23" t="s">
        <v>41</v>
      </c>
      <c r="J15" s="8">
        <v>75</v>
      </c>
      <c r="K15" s="7">
        <v>2.6</v>
      </c>
      <c r="L15" s="27">
        <v>195</v>
      </c>
    </row>
    <row r="16" spans="1:12" ht="15.5" x14ac:dyDescent="0.35">
      <c r="A16" s="3" t="s">
        <v>14</v>
      </c>
      <c r="D16" s="26" t="s">
        <v>43</v>
      </c>
      <c r="E16" s="6">
        <v>20</v>
      </c>
      <c r="F16" s="7">
        <v>560</v>
      </c>
      <c r="G16" s="27">
        <v>11200</v>
      </c>
      <c r="H16" s="5"/>
      <c r="I16" s="23" t="s">
        <v>40</v>
      </c>
      <c r="J16" s="8">
        <v>80</v>
      </c>
      <c r="K16" s="7">
        <v>22</v>
      </c>
      <c r="L16" s="27">
        <v>1760</v>
      </c>
    </row>
    <row r="17" spans="1:12" ht="15.5" x14ac:dyDescent="0.35">
      <c r="A17" s="3" t="s">
        <v>15</v>
      </c>
      <c r="D17" s="26" t="s">
        <v>42</v>
      </c>
      <c r="E17" s="6">
        <v>8</v>
      </c>
      <c r="F17" s="7">
        <v>110</v>
      </c>
      <c r="G17" s="27">
        <v>880</v>
      </c>
      <c r="H17" s="5"/>
      <c r="I17" s="39" t="s">
        <v>43</v>
      </c>
      <c r="J17" s="22">
        <v>20</v>
      </c>
      <c r="K17" s="17">
        <v>560</v>
      </c>
      <c r="L17" s="29">
        <v>11200</v>
      </c>
    </row>
    <row r="18" spans="1:12" ht="16" thickBot="1" x14ac:dyDescent="0.4">
      <c r="A18" s="3" t="s">
        <v>16</v>
      </c>
      <c r="D18" s="32" t="s">
        <v>34</v>
      </c>
      <c r="E18" s="33">
        <v>8</v>
      </c>
      <c r="F18" s="34">
        <v>2100</v>
      </c>
      <c r="G18" s="35">
        <v>16800</v>
      </c>
      <c r="H18" s="5"/>
      <c r="I18" s="40" t="s">
        <v>29</v>
      </c>
      <c r="J18" s="41">
        <v>25</v>
      </c>
      <c r="K18" s="34">
        <v>950</v>
      </c>
      <c r="L18" s="35">
        <v>23750</v>
      </c>
    </row>
    <row r="19" spans="1:12" x14ac:dyDescent="0.35">
      <c r="A19" s="3" t="s">
        <v>17</v>
      </c>
    </row>
    <row r="20" spans="1:12" x14ac:dyDescent="0.35">
      <c r="A20" s="3" t="s">
        <v>18</v>
      </c>
    </row>
    <row r="21" spans="1:12" x14ac:dyDescent="0.35">
      <c r="A21" s="3" t="s">
        <v>19</v>
      </c>
    </row>
    <row r="22" spans="1:12" x14ac:dyDescent="0.35">
      <c r="A22" s="3" t="s">
        <v>20</v>
      </c>
    </row>
    <row r="23" spans="1:12" x14ac:dyDescent="0.35">
      <c r="A23" s="3" t="s">
        <v>21</v>
      </c>
    </row>
    <row r="24" spans="1:12" ht="15" thickBot="1" x14ac:dyDescent="0.4">
      <c r="A24" s="4" t="s">
        <v>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showGridLines="0" workbookViewId="0">
      <selection activeCell="A21" sqref="A21"/>
    </sheetView>
  </sheetViews>
  <sheetFormatPr defaultRowHeight="14.5" x14ac:dyDescent="0.35"/>
  <cols>
    <col min="1" max="1" width="14.453125" customWidth="1"/>
    <col min="2" max="2" width="17.81640625" customWidth="1"/>
  </cols>
  <sheetData>
    <row r="1" spans="1:2" x14ac:dyDescent="0.35">
      <c r="A1" s="45" t="s">
        <v>104</v>
      </c>
      <c r="B1" s="46"/>
    </row>
    <row r="2" spans="1:2" x14ac:dyDescent="0.35">
      <c r="A2" s="42"/>
      <c r="B2" s="42"/>
    </row>
    <row r="3" spans="1:2" x14ac:dyDescent="0.35">
      <c r="A3" s="43" t="s">
        <v>44</v>
      </c>
      <c r="B3" s="44">
        <v>16</v>
      </c>
    </row>
    <row r="4" spans="1:2" x14ac:dyDescent="0.35">
      <c r="A4" s="43" t="s">
        <v>45</v>
      </c>
      <c r="B4" s="44">
        <v>25</v>
      </c>
    </row>
    <row r="5" spans="1:2" x14ac:dyDescent="0.35">
      <c r="A5" s="47" t="s">
        <v>46</v>
      </c>
      <c r="B5" s="48">
        <v>56</v>
      </c>
    </row>
    <row r="6" spans="1:2" x14ac:dyDescent="0.35">
      <c r="A6" s="43" t="s">
        <v>47</v>
      </c>
      <c r="B6" s="44">
        <v>98</v>
      </c>
    </row>
    <row r="7" spans="1:2" x14ac:dyDescent="0.35">
      <c r="A7" s="43" t="s">
        <v>48</v>
      </c>
      <c r="B7" s="44">
        <v>102</v>
      </c>
    </row>
    <row r="8" spans="1:2" x14ac:dyDescent="0.35">
      <c r="A8" s="43" t="s">
        <v>105</v>
      </c>
      <c r="B8" s="44">
        <v>25</v>
      </c>
    </row>
    <row r="9" spans="1:2" x14ac:dyDescent="0.35">
      <c r="A9" s="43" t="s">
        <v>106</v>
      </c>
      <c r="B9" s="44">
        <v>17</v>
      </c>
    </row>
    <row r="10" spans="1:2" x14ac:dyDescent="0.35">
      <c r="A10" s="43" t="s">
        <v>49</v>
      </c>
      <c r="B10" s="44">
        <v>50</v>
      </c>
    </row>
    <row r="11" spans="1:2" x14ac:dyDescent="0.35">
      <c r="A11" s="43" t="s">
        <v>50</v>
      </c>
      <c r="B11" s="44">
        <v>29</v>
      </c>
    </row>
    <row r="12" spans="1:2" x14ac:dyDescent="0.35">
      <c r="A12" s="43" t="s">
        <v>51</v>
      </c>
      <c r="B12" s="44">
        <v>100</v>
      </c>
    </row>
    <row r="13" spans="1:2" x14ac:dyDescent="0.35">
      <c r="A13" s="43" t="s">
        <v>52</v>
      </c>
      <c r="B13" s="44">
        <v>12</v>
      </c>
    </row>
    <row r="14" spans="1:2" x14ac:dyDescent="0.35">
      <c r="A14" s="43" t="s">
        <v>53</v>
      </c>
      <c r="B14" s="44">
        <v>36</v>
      </c>
    </row>
    <row r="15" spans="1:2" x14ac:dyDescent="0.35">
      <c r="A15" s="49" t="s">
        <v>54</v>
      </c>
      <c r="B15" s="50">
        <v>1.5</v>
      </c>
    </row>
    <row r="16" spans="1:2" x14ac:dyDescent="0.35">
      <c r="A16" s="43" t="s">
        <v>55</v>
      </c>
      <c r="B16" s="44">
        <v>90</v>
      </c>
    </row>
    <row r="17" spans="1:2" x14ac:dyDescent="0.35">
      <c r="A17" s="43" t="s">
        <v>8</v>
      </c>
      <c r="B17" s="44">
        <v>950</v>
      </c>
    </row>
    <row r="18" spans="1:2" x14ac:dyDescent="0.35">
      <c r="A18" s="43" t="s">
        <v>56</v>
      </c>
      <c r="B18" s="44">
        <v>41</v>
      </c>
    </row>
    <row r="19" spans="1:2" x14ac:dyDescent="0.35">
      <c r="A19" s="43" t="s">
        <v>57</v>
      </c>
      <c r="B19" s="44">
        <v>22</v>
      </c>
    </row>
    <row r="20" spans="1:2" x14ac:dyDescent="0.35">
      <c r="A20" s="43" t="s">
        <v>58</v>
      </c>
      <c r="B20" s="44">
        <v>456</v>
      </c>
    </row>
    <row r="21" spans="1:2" x14ac:dyDescent="0.35">
      <c r="A21" s="43" t="s">
        <v>107</v>
      </c>
      <c r="B21" s="44">
        <v>150</v>
      </c>
    </row>
    <row r="22" spans="1:2" x14ac:dyDescent="0.35">
      <c r="A22" s="43" t="s">
        <v>59</v>
      </c>
      <c r="B22" s="44">
        <v>23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showGridLines="0" tabSelected="1" topLeftCell="A4" zoomScale="118" zoomScaleNormal="118" workbookViewId="0">
      <selection activeCell="B16" sqref="B16:G16"/>
    </sheetView>
  </sheetViews>
  <sheetFormatPr defaultRowHeight="14.5" x14ac:dyDescent="0.35"/>
  <cols>
    <col min="1" max="1" width="13.7265625" customWidth="1"/>
    <col min="2" max="2" width="11.7265625" customWidth="1"/>
    <col min="3" max="4" width="10.7265625" customWidth="1"/>
    <col min="5" max="5" width="11.1796875" customWidth="1"/>
    <col min="6" max="6" width="9.453125" customWidth="1"/>
  </cols>
  <sheetData>
    <row r="1" spans="1:14" x14ac:dyDescent="0.35">
      <c r="A1" s="53" t="s">
        <v>86</v>
      </c>
    </row>
    <row r="3" spans="1:14" ht="15" thickBot="1" x14ac:dyDescent="0.4"/>
    <row r="4" spans="1:14" ht="15" thickBot="1" x14ac:dyDescent="0.4">
      <c r="A4" s="54" t="s">
        <v>74</v>
      </c>
      <c r="B4" s="55"/>
      <c r="C4" s="55" t="s">
        <v>102</v>
      </c>
      <c r="D4" s="55"/>
      <c r="E4" s="55"/>
      <c r="F4" s="56"/>
    </row>
    <row r="5" spans="1:14" s="69" customFormat="1" ht="27" thickBot="1" x14ac:dyDescent="0.4">
      <c r="A5" s="64"/>
      <c r="B5" s="65" t="s">
        <v>75</v>
      </c>
      <c r="C5" s="65" t="s">
        <v>76</v>
      </c>
      <c r="D5" s="66" t="s">
        <v>77</v>
      </c>
      <c r="E5" s="67" t="s">
        <v>78</v>
      </c>
      <c r="F5" s="68" t="s">
        <v>103</v>
      </c>
    </row>
    <row r="6" spans="1:14" ht="15" thickBot="1" x14ac:dyDescent="0.4">
      <c r="A6" s="57" t="s">
        <v>79</v>
      </c>
      <c r="B6" s="58">
        <v>100</v>
      </c>
      <c r="C6" s="59">
        <v>50</v>
      </c>
      <c r="D6" s="59">
        <v>1500</v>
      </c>
      <c r="E6" s="60">
        <f t="shared" ref="E6:E11" si="0">SUM(B6:D6)</f>
        <v>1650</v>
      </c>
      <c r="F6" s="61">
        <f>0.05*E6</f>
        <v>82.5</v>
      </c>
    </row>
    <row r="7" spans="1:14" ht="15" thickBot="1" x14ac:dyDescent="0.4">
      <c r="A7" s="57" t="s">
        <v>80</v>
      </c>
      <c r="B7" s="62">
        <v>150</v>
      </c>
      <c r="C7" s="63">
        <v>60</v>
      </c>
      <c r="D7" s="63">
        <v>1500</v>
      </c>
      <c r="E7" s="60">
        <f t="shared" si="0"/>
        <v>1710</v>
      </c>
      <c r="F7" s="61">
        <f t="shared" ref="F7:F12" si="1">0.05*E7</f>
        <v>85.5</v>
      </c>
    </row>
    <row r="8" spans="1:14" ht="15" thickBot="1" x14ac:dyDescent="0.4">
      <c r="A8" s="57" t="s">
        <v>81</v>
      </c>
      <c r="B8" s="62">
        <v>50</v>
      </c>
      <c r="C8" s="63">
        <v>30</v>
      </c>
      <c r="D8" s="63">
        <v>1500</v>
      </c>
      <c r="E8" s="60">
        <f t="shared" si="0"/>
        <v>1580</v>
      </c>
      <c r="F8" s="61">
        <f t="shared" si="1"/>
        <v>79</v>
      </c>
    </row>
    <row r="9" spans="1:14" ht="15" thickBot="1" x14ac:dyDescent="0.4">
      <c r="A9" s="57" t="s">
        <v>82</v>
      </c>
      <c r="B9" s="62">
        <v>50</v>
      </c>
      <c r="C9" s="63">
        <v>70</v>
      </c>
      <c r="D9" s="63">
        <v>500</v>
      </c>
      <c r="E9" s="60">
        <f t="shared" si="0"/>
        <v>620</v>
      </c>
      <c r="F9" s="61">
        <f t="shared" si="1"/>
        <v>31</v>
      </c>
    </row>
    <row r="10" spans="1:14" ht="15" thickBot="1" x14ac:dyDescent="0.4">
      <c r="A10" s="57" t="s">
        <v>83</v>
      </c>
      <c r="B10" s="62">
        <v>200</v>
      </c>
      <c r="C10" s="63">
        <v>40</v>
      </c>
      <c r="D10" s="63">
        <v>1500</v>
      </c>
      <c r="E10" s="60">
        <f t="shared" si="0"/>
        <v>1740</v>
      </c>
      <c r="F10" s="61">
        <f t="shared" si="1"/>
        <v>87</v>
      </c>
    </row>
    <row r="11" spans="1:14" ht="15" thickBot="1" x14ac:dyDescent="0.4">
      <c r="A11" s="57" t="s">
        <v>84</v>
      </c>
      <c r="B11" s="62">
        <v>250</v>
      </c>
      <c r="C11" s="63">
        <v>20</v>
      </c>
      <c r="D11" s="63">
        <v>1500</v>
      </c>
      <c r="E11" s="60">
        <f t="shared" si="0"/>
        <v>1770</v>
      </c>
      <c r="F11" s="61">
        <f t="shared" si="1"/>
        <v>88.5</v>
      </c>
    </row>
    <row r="12" spans="1:14" ht="15" thickBot="1" x14ac:dyDescent="0.4">
      <c r="A12" s="57" t="s">
        <v>85</v>
      </c>
      <c r="B12" s="62">
        <v>300</v>
      </c>
      <c r="C12" s="63">
        <v>50</v>
      </c>
      <c r="D12" s="63">
        <v>4000</v>
      </c>
      <c r="E12" s="60">
        <f>SUM(B12:D12)</f>
        <v>4350</v>
      </c>
      <c r="F12" s="61">
        <f t="shared" si="1"/>
        <v>217.5</v>
      </c>
    </row>
    <row r="15" spans="1:14" x14ac:dyDescent="0.35">
      <c r="A15" s="53" t="s">
        <v>109</v>
      </c>
    </row>
    <row r="16" spans="1:14" ht="45" customHeight="1" x14ac:dyDescent="0.35">
      <c r="B16" s="96" t="s">
        <v>110</v>
      </c>
      <c r="C16" s="96"/>
      <c r="D16" s="96"/>
      <c r="E16" s="96"/>
      <c r="F16" s="96"/>
      <c r="G16" s="96"/>
      <c r="H16" s="77"/>
      <c r="I16" s="77"/>
      <c r="J16" s="77"/>
      <c r="K16" s="77"/>
      <c r="L16" s="77"/>
      <c r="M16" s="77"/>
      <c r="N16" s="77"/>
    </row>
    <row r="18" spans="1:9" ht="15" thickBot="1" x14ac:dyDescent="0.4"/>
    <row r="19" spans="1:9" ht="15" thickTop="1" x14ac:dyDescent="0.35">
      <c r="A19" s="71"/>
      <c r="B19" s="93" t="s">
        <v>87</v>
      </c>
      <c r="C19" s="94"/>
      <c r="D19" s="94"/>
      <c r="E19" s="94"/>
      <c r="F19" s="94"/>
      <c r="G19" s="94"/>
      <c r="H19" s="94"/>
      <c r="I19" s="95"/>
    </row>
    <row r="20" spans="1:9" x14ac:dyDescent="0.35">
      <c r="A20" s="72"/>
      <c r="B20" s="70" t="s">
        <v>88</v>
      </c>
      <c r="C20" s="70" t="s">
        <v>89</v>
      </c>
      <c r="D20" s="70" t="s">
        <v>90</v>
      </c>
      <c r="E20" s="70" t="s">
        <v>91</v>
      </c>
      <c r="F20" s="70" t="s">
        <v>92</v>
      </c>
      <c r="G20" s="70" t="s">
        <v>93</v>
      </c>
      <c r="H20" s="70" t="s">
        <v>94</v>
      </c>
      <c r="I20" s="73" t="s">
        <v>95</v>
      </c>
    </row>
    <row r="21" spans="1:9" x14ac:dyDescent="0.35">
      <c r="A21" s="72" t="s">
        <v>96</v>
      </c>
      <c r="B21" s="70">
        <v>578</v>
      </c>
      <c r="C21" s="70">
        <v>234</v>
      </c>
      <c r="D21" s="70">
        <v>754</v>
      </c>
      <c r="E21" s="70">
        <v>250</v>
      </c>
      <c r="F21" s="70">
        <v>321</v>
      </c>
      <c r="G21" s="70">
        <v>1245</v>
      </c>
      <c r="H21" s="70">
        <v>1748</v>
      </c>
      <c r="I21" s="73">
        <v>1243</v>
      </c>
    </row>
    <row r="22" spans="1:9" x14ac:dyDescent="0.35">
      <c r="A22" s="72" t="s">
        <v>97</v>
      </c>
      <c r="B22" s="70">
        <v>145</v>
      </c>
      <c r="C22" s="70">
        <v>574</v>
      </c>
      <c r="D22" s="70">
        <v>657</v>
      </c>
      <c r="E22" s="70">
        <v>478</v>
      </c>
      <c r="F22" s="70">
        <v>775</v>
      </c>
      <c r="G22" s="70">
        <v>939</v>
      </c>
      <c r="H22" s="70">
        <v>541</v>
      </c>
      <c r="I22" s="73">
        <v>2540</v>
      </c>
    </row>
    <row r="23" spans="1:9" x14ac:dyDescent="0.35">
      <c r="A23" s="72" t="s">
        <v>98</v>
      </c>
      <c r="B23" s="70">
        <v>587</v>
      </c>
      <c r="C23" s="70">
        <v>857</v>
      </c>
      <c r="D23" s="70">
        <v>145</v>
      </c>
      <c r="E23" s="70">
        <v>785</v>
      </c>
      <c r="F23" s="70">
        <v>674</v>
      </c>
      <c r="G23" s="70">
        <v>4875</v>
      </c>
      <c r="H23" s="70">
        <v>2547</v>
      </c>
      <c r="I23" s="73">
        <v>3241</v>
      </c>
    </row>
    <row r="24" spans="1:9" x14ac:dyDescent="0.35">
      <c r="A24" s="72" t="s">
        <v>99</v>
      </c>
      <c r="B24" s="70">
        <v>104</v>
      </c>
      <c r="C24" s="70">
        <v>32</v>
      </c>
      <c r="D24" s="70">
        <v>358</v>
      </c>
      <c r="E24" s="70">
        <v>471</v>
      </c>
      <c r="F24" s="70">
        <v>582</v>
      </c>
      <c r="G24" s="70">
        <v>147</v>
      </c>
      <c r="H24" s="70">
        <v>286</v>
      </c>
      <c r="I24" s="73">
        <v>321</v>
      </c>
    </row>
    <row r="25" spans="1:9" x14ac:dyDescent="0.35">
      <c r="A25" s="72" t="s">
        <v>100</v>
      </c>
      <c r="B25" s="70">
        <v>50</v>
      </c>
      <c r="C25" s="70">
        <v>568</v>
      </c>
      <c r="D25" s="70">
        <v>421</v>
      </c>
      <c r="E25" s="70">
        <v>277</v>
      </c>
      <c r="F25" s="70">
        <v>357</v>
      </c>
      <c r="G25" s="70">
        <v>894</v>
      </c>
      <c r="H25" s="70">
        <v>147</v>
      </c>
      <c r="I25" s="73">
        <v>685</v>
      </c>
    </row>
    <row r="26" spans="1:9" ht="15" thickBot="1" x14ac:dyDescent="0.4">
      <c r="A26" s="74" t="s">
        <v>101</v>
      </c>
      <c r="B26" s="75">
        <v>957</v>
      </c>
      <c r="C26" s="75">
        <v>147</v>
      </c>
      <c r="D26" s="75">
        <v>634</v>
      </c>
      <c r="E26" s="75">
        <v>857</v>
      </c>
      <c r="F26" s="75">
        <v>175</v>
      </c>
      <c r="G26" s="75">
        <v>604</v>
      </c>
      <c r="H26" s="75">
        <v>254</v>
      </c>
      <c r="I26" s="76">
        <v>204</v>
      </c>
    </row>
    <row r="27" spans="1:9" ht="15" thickTop="1" x14ac:dyDescent="0.35"/>
  </sheetData>
  <mergeCells count="2">
    <mergeCell ref="B19:I19"/>
    <mergeCell ref="B16:G16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workbookViewId="0">
      <selection activeCell="A10" sqref="A10"/>
    </sheetView>
  </sheetViews>
  <sheetFormatPr defaultRowHeight="14.5" x14ac:dyDescent="0.35"/>
  <cols>
    <col min="1" max="1" width="19.1796875" customWidth="1"/>
    <col min="2" max="2" width="9.1796875" customWidth="1"/>
  </cols>
  <sheetData>
    <row r="1" spans="1:8" x14ac:dyDescent="0.35">
      <c r="A1" s="52" t="s">
        <v>61</v>
      </c>
      <c r="B1" s="52"/>
      <c r="C1" s="52"/>
      <c r="D1" s="52"/>
      <c r="E1" s="52"/>
      <c r="F1" s="52"/>
    </row>
    <row r="2" spans="1:8" ht="47.25" customHeight="1" x14ac:dyDescent="0.35">
      <c r="A2" s="52"/>
      <c r="B2" s="97" t="s">
        <v>60</v>
      </c>
      <c r="C2" s="97"/>
      <c r="D2" s="97"/>
      <c r="E2" s="97"/>
      <c r="F2" s="97"/>
    </row>
    <row r="4" spans="1:8" x14ac:dyDescent="0.35">
      <c r="B4" s="51">
        <v>1</v>
      </c>
      <c r="C4" s="51">
        <v>1</v>
      </c>
      <c r="D4" s="51">
        <v>1</v>
      </c>
      <c r="E4" s="51">
        <v>-1</v>
      </c>
      <c r="F4" s="51">
        <v>3</v>
      </c>
      <c r="G4" s="51">
        <v>-5</v>
      </c>
      <c r="H4" s="51">
        <v>1</v>
      </c>
    </row>
    <row r="5" spans="1:8" x14ac:dyDescent="0.35">
      <c r="B5" s="51">
        <v>-50</v>
      </c>
      <c r="C5" s="51">
        <v>2</v>
      </c>
      <c r="D5" s="51">
        <v>-30</v>
      </c>
      <c r="E5" s="51">
        <v>1</v>
      </c>
      <c r="F5" s="51">
        <v>1</v>
      </c>
      <c r="G5" s="51">
        <v>4</v>
      </c>
      <c r="H5" s="51">
        <v>-10</v>
      </c>
    </row>
    <row r="6" spans="1:8" x14ac:dyDescent="0.35">
      <c r="B6" s="51">
        <v>10</v>
      </c>
      <c r="C6" s="51">
        <v>-5</v>
      </c>
      <c r="D6" s="51">
        <v>2</v>
      </c>
      <c r="E6" s="51">
        <v>4</v>
      </c>
      <c r="F6" s="51">
        <v>0</v>
      </c>
      <c r="G6" s="51">
        <v>3</v>
      </c>
      <c r="H6" s="51">
        <v>2</v>
      </c>
    </row>
    <row r="7" spans="1:8" x14ac:dyDescent="0.35">
      <c r="B7" s="51">
        <v>0</v>
      </c>
      <c r="C7" s="51">
        <v>1</v>
      </c>
      <c r="D7" s="51">
        <v>2</v>
      </c>
      <c r="E7" s="51">
        <v>-1E-3</v>
      </c>
      <c r="F7" s="51">
        <v>1</v>
      </c>
      <c r="G7" s="51">
        <v>4</v>
      </c>
      <c r="H7" s="51">
        <v>-5</v>
      </c>
    </row>
    <row r="10" spans="1:8" x14ac:dyDescent="0.35">
      <c r="A10" s="53" t="s">
        <v>108</v>
      </c>
    </row>
    <row r="11" spans="1:8" ht="15" thickBot="1" x14ac:dyDescent="0.4"/>
    <row r="12" spans="1:8" ht="51.75" customHeight="1" thickBot="1" x14ac:dyDescent="0.4">
      <c r="A12" s="92"/>
      <c r="B12" s="90" t="s">
        <v>62</v>
      </c>
      <c r="C12" s="90" t="s">
        <v>63</v>
      </c>
      <c r="D12" s="91" t="s">
        <v>64</v>
      </c>
    </row>
    <row r="13" spans="1:8" ht="15" thickTop="1" x14ac:dyDescent="0.35">
      <c r="A13" s="78" t="s">
        <v>65</v>
      </c>
      <c r="B13" s="79">
        <v>2</v>
      </c>
      <c r="C13" s="79">
        <v>1</v>
      </c>
      <c r="D13" s="80">
        <v>1</v>
      </c>
    </row>
    <row r="14" spans="1:8" x14ac:dyDescent="0.35">
      <c r="A14" s="81" t="s">
        <v>66</v>
      </c>
      <c r="B14" s="82">
        <v>1</v>
      </c>
      <c r="C14" s="82">
        <v>1</v>
      </c>
      <c r="D14" s="83">
        <v>1</v>
      </c>
    </row>
    <row r="15" spans="1:8" x14ac:dyDescent="0.35">
      <c r="A15" s="81" t="s">
        <v>67</v>
      </c>
      <c r="B15" s="82">
        <v>5</v>
      </c>
      <c r="C15" s="82">
        <v>1</v>
      </c>
      <c r="D15" s="83">
        <v>3</v>
      </c>
    </row>
    <row r="16" spans="1:8" x14ac:dyDescent="0.35">
      <c r="A16" s="81" t="s">
        <v>68</v>
      </c>
      <c r="B16" s="82">
        <v>1</v>
      </c>
      <c r="C16" s="82">
        <v>5</v>
      </c>
      <c r="D16" s="83">
        <v>4</v>
      </c>
    </row>
    <row r="17" spans="1:4" x14ac:dyDescent="0.35">
      <c r="A17" s="81" t="s">
        <v>69</v>
      </c>
      <c r="B17" s="82">
        <v>5</v>
      </c>
      <c r="C17" s="82">
        <v>5</v>
      </c>
      <c r="D17" s="83">
        <v>5</v>
      </c>
    </row>
    <row r="18" spans="1:4" x14ac:dyDescent="0.35">
      <c r="A18" s="84" t="s">
        <v>70</v>
      </c>
      <c r="B18" s="85">
        <v>1</v>
      </c>
      <c r="C18" s="85">
        <v>2</v>
      </c>
      <c r="D18" s="86">
        <v>1</v>
      </c>
    </row>
    <row r="19" spans="1:4" x14ac:dyDescent="0.35">
      <c r="A19" s="84" t="s">
        <v>71</v>
      </c>
      <c r="B19" s="85">
        <v>2</v>
      </c>
      <c r="C19" s="85">
        <v>4</v>
      </c>
      <c r="D19" s="86">
        <v>1</v>
      </c>
    </row>
    <row r="20" spans="1:4" x14ac:dyDescent="0.35">
      <c r="A20" s="84" t="s">
        <v>72</v>
      </c>
      <c r="B20" s="85">
        <v>3</v>
      </c>
      <c r="C20" s="85">
        <v>5</v>
      </c>
      <c r="D20" s="86">
        <v>1</v>
      </c>
    </row>
    <row r="21" spans="1:4" ht="15" thickBot="1" x14ac:dyDescent="0.4">
      <c r="A21" s="87" t="s">
        <v>73</v>
      </c>
      <c r="B21" s="88">
        <v>4</v>
      </c>
      <c r="C21" s="88">
        <v>1</v>
      </c>
      <c r="D21" s="89">
        <v>2</v>
      </c>
    </row>
  </sheetData>
  <mergeCells count="1">
    <mergeCell ref="B2:F2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řazení</vt:lpstr>
      <vt:lpstr>nahraď</vt:lpstr>
      <vt:lpstr>podmine form-lehké</vt:lpstr>
      <vt:lpstr>podmíněné fomátování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Spravce</dc:creator>
  <cp:lastModifiedBy>Votavová Gabriela</cp:lastModifiedBy>
  <dcterms:created xsi:type="dcterms:W3CDTF">2013-04-28T08:44:03Z</dcterms:created>
  <dcterms:modified xsi:type="dcterms:W3CDTF">2019-06-07T09:26:06Z</dcterms:modified>
</cp:coreProperties>
</file>