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tassie-my.sharepoint.com/personal/koupja_delta-skola_cz/Documents/Delta/Programovani_2/"/>
    </mc:Choice>
  </mc:AlternateContent>
  <xr:revisionPtr revIDLastSave="1484" documentId="8_{707F91A0-F769-49D1-A9F4-7927EFED7DD6}" xr6:coauthVersionLast="47" xr6:coauthVersionMax="47" xr10:uidLastSave="{6C29F7F9-B7A0-4136-A091-5CC63671024F}"/>
  <bookViews>
    <workbookView xWindow="-19310" yWindow="-10" windowWidth="19420" windowHeight="11500" activeTab="1" xr2:uid="{A3D7FF62-AB53-42E8-9E62-F76A8AF535B2}"/>
  </bookViews>
  <sheets>
    <sheet name="Graf1" sheetId="2" r:id="rId1"/>
    <sheet name="Lis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9" i="1" l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B31" i="1" l="1"/>
  <c r="G15" i="1"/>
  <c r="S7" i="1"/>
  <c r="E10" i="1"/>
  <c r="G10" i="1"/>
  <c r="I10" i="1"/>
  <c r="K10" i="1"/>
  <c r="M10" i="1"/>
  <c r="O10" i="1"/>
  <c r="Q10" i="1"/>
  <c r="S10" i="1"/>
  <c r="U10" i="1"/>
  <c r="W10" i="1"/>
  <c r="Y10" i="1"/>
  <c r="AA10" i="1"/>
  <c r="E28" i="1"/>
  <c r="G28" i="1"/>
  <c r="I28" i="1"/>
  <c r="K28" i="1"/>
  <c r="M28" i="1"/>
  <c r="O28" i="1"/>
  <c r="Q28" i="1"/>
  <c r="S28" i="1"/>
  <c r="U28" i="1"/>
  <c r="W28" i="1"/>
  <c r="Y28" i="1"/>
  <c r="AA28" i="1"/>
  <c r="E8" i="1"/>
  <c r="G8" i="1"/>
  <c r="I8" i="1"/>
  <c r="K8" i="1"/>
  <c r="M8" i="1"/>
  <c r="O8" i="1"/>
  <c r="Q8" i="1"/>
  <c r="S8" i="1"/>
  <c r="U8" i="1"/>
  <c r="W8" i="1"/>
  <c r="Y8" i="1"/>
  <c r="AA8" i="1"/>
  <c r="AA11" i="1"/>
  <c r="Y11" i="1"/>
  <c r="W11" i="1"/>
  <c r="U11" i="1"/>
  <c r="S11" i="1"/>
  <c r="Q11" i="1"/>
  <c r="O11" i="1"/>
  <c r="M11" i="1"/>
  <c r="K11" i="1"/>
  <c r="I11" i="1"/>
  <c r="G11" i="1"/>
  <c r="E11" i="1"/>
  <c r="AA29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9" i="1"/>
  <c r="AA7" i="1"/>
  <c r="AA6" i="1"/>
  <c r="AA5" i="1"/>
  <c r="AA4" i="1"/>
  <c r="AA3" i="1"/>
  <c r="Y29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9" i="1"/>
  <c r="Y7" i="1"/>
  <c r="Y6" i="1"/>
  <c r="Y5" i="1"/>
  <c r="Y4" i="1"/>
  <c r="Y3" i="1"/>
  <c r="W29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9" i="1"/>
  <c r="W7" i="1"/>
  <c r="W6" i="1"/>
  <c r="W5" i="1"/>
  <c r="W4" i="1"/>
  <c r="W3" i="1"/>
  <c r="U29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9" i="1"/>
  <c r="U7" i="1"/>
  <c r="U6" i="1"/>
  <c r="U5" i="1"/>
  <c r="U4" i="1"/>
  <c r="U3" i="1"/>
  <c r="S29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9" i="1"/>
  <c r="S6" i="1"/>
  <c r="S5" i="1"/>
  <c r="S4" i="1"/>
  <c r="S3" i="1"/>
  <c r="Q29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9" i="1"/>
  <c r="Q7" i="1"/>
  <c r="Q6" i="1"/>
  <c r="Q5" i="1"/>
  <c r="Q4" i="1"/>
  <c r="Q3" i="1"/>
  <c r="O29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9" i="1"/>
  <c r="O7" i="1"/>
  <c r="O6" i="1"/>
  <c r="O5" i="1"/>
  <c r="O4" i="1"/>
  <c r="O3" i="1"/>
  <c r="M29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9" i="1"/>
  <c r="M7" i="1"/>
  <c r="M6" i="1"/>
  <c r="M5" i="1"/>
  <c r="M4" i="1"/>
  <c r="M3" i="1"/>
  <c r="K29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9" i="1"/>
  <c r="K7" i="1"/>
  <c r="K6" i="1"/>
  <c r="K5" i="1"/>
  <c r="K4" i="1"/>
  <c r="K3" i="1"/>
  <c r="I29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9" i="1"/>
  <c r="I7" i="1"/>
  <c r="I6" i="1"/>
  <c r="I5" i="1"/>
  <c r="I4" i="1"/>
  <c r="I3" i="1"/>
  <c r="G29" i="1"/>
  <c r="G27" i="1"/>
  <c r="G26" i="1"/>
  <c r="G25" i="1"/>
  <c r="G24" i="1"/>
  <c r="G23" i="1"/>
  <c r="G22" i="1"/>
  <c r="G21" i="1"/>
  <c r="G20" i="1"/>
  <c r="G19" i="1"/>
  <c r="G18" i="1"/>
  <c r="G17" i="1"/>
  <c r="G16" i="1"/>
  <c r="G14" i="1"/>
  <c r="G13" i="1"/>
  <c r="G12" i="1"/>
  <c r="G9" i="1"/>
  <c r="G7" i="1"/>
  <c r="G6" i="1"/>
  <c r="G5" i="1"/>
  <c r="G4" i="1"/>
  <c r="G3" i="1"/>
  <c r="E16" i="1"/>
  <c r="E9" i="1"/>
  <c r="E12" i="1"/>
  <c r="E13" i="1"/>
  <c r="E14" i="1"/>
  <c r="E15" i="1"/>
  <c r="E17" i="1"/>
  <c r="E18" i="1"/>
  <c r="E19" i="1"/>
  <c r="E20" i="1"/>
  <c r="E21" i="1"/>
  <c r="H31" i="1" l="1"/>
  <c r="L31" i="1"/>
  <c r="N31" i="1"/>
  <c r="V31" i="1"/>
  <c r="X31" i="1"/>
  <c r="Z31" i="1"/>
  <c r="J31" i="1"/>
  <c r="T31" i="1"/>
  <c r="R31" i="1"/>
  <c r="F31" i="1"/>
  <c r="P31" i="1"/>
  <c r="E4" i="1" l="1"/>
  <c r="E5" i="1"/>
  <c r="E6" i="1"/>
  <c r="E7" i="1"/>
  <c r="E22" i="1"/>
  <c r="E23" i="1"/>
  <c r="E24" i="1"/>
  <c r="E25" i="1"/>
  <c r="E26" i="1"/>
  <c r="E27" i="1"/>
  <c r="E29" i="1"/>
  <c r="E3" i="1"/>
  <c r="C31" i="1"/>
  <c r="AB33" i="1" s="1"/>
  <c r="AC33" i="1" s="1"/>
  <c r="X33" i="1" l="1"/>
  <c r="Y33" i="1" s="1"/>
  <c r="Z33" i="1"/>
  <c r="AA33" i="1" s="1"/>
  <c r="D31" i="1"/>
  <c r="D33" i="1" s="1"/>
  <c r="E33" i="1" s="1"/>
  <c r="L33" i="1"/>
  <c r="M33" i="1" s="1"/>
  <c r="R33" i="1"/>
  <c r="S33" i="1" s="1"/>
  <c r="T33" i="1"/>
  <c r="U33" i="1" s="1"/>
  <c r="P33" i="1"/>
  <c r="Q33" i="1" s="1"/>
  <c r="N33" i="1"/>
  <c r="O33" i="1" s="1"/>
  <c r="V33" i="1"/>
  <c r="W33" i="1" s="1"/>
  <c r="J33" i="1"/>
  <c r="K33" i="1" s="1"/>
  <c r="H33" i="1"/>
  <c r="I33" i="1" s="1"/>
  <c r="F33" i="1"/>
  <c r="G33" i="1" s="1"/>
</calcChain>
</file>

<file path=xl/sharedStrings.xml><?xml version="1.0" encoding="utf-8"?>
<sst xmlns="http://schemas.openxmlformats.org/spreadsheetml/2006/main" count="74" uniqueCount="43">
  <si>
    <t>sealed</t>
  </si>
  <si>
    <t>Max</t>
  </si>
  <si>
    <t>body</t>
  </si>
  <si>
    <t>úspěšnost</t>
  </si>
  <si>
    <t>Bonus</t>
  </si>
  <si>
    <t>Enumerace</t>
  </si>
  <si>
    <t>Clovek</t>
  </si>
  <si>
    <t>prop jmeno, pohlavi</t>
  </si>
  <si>
    <t>prop pub get, prot set</t>
  </si>
  <si>
    <t>konstruktor nastavi prop</t>
  </si>
  <si>
    <t>tostring</t>
  </si>
  <si>
    <t>Zamestnanec</t>
  </si>
  <si>
    <t>extends clovek</t>
  </si>
  <si>
    <t>prop mzda, povolani</t>
  </si>
  <si>
    <t>konstruktor vola bazovy</t>
  </si>
  <si>
    <t>konstruktor uklada</t>
  </si>
  <si>
    <t>abst pracuj</t>
  </si>
  <si>
    <t>Ucetni</t>
  </si>
  <si>
    <t>extends zamestnanec</t>
  </si>
  <si>
    <t xml:space="preserve">konstruktor vola bazovy </t>
  </si>
  <si>
    <t>Pracuj</t>
  </si>
  <si>
    <t>Kuchar</t>
  </si>
  <si>
    <t>uklada hotel</t>
  </si>
  <si>
    <t>Skupina</t>
  </si>
  <si>
    <t>pvt _zamestnanci</t>
  </si>
  <si>
    <t>DoPrace()</t>
  </si>
  <si>
    <t>Popis</t>
  </si>
  <si>
    <t>tostring preklada enum</t>
  </si>
  <si>
    <t>PrumernaMzda</t>
  </si>
  <si>
    <t>abstraktní</t>
  </si>
  <si>
    <t>Balcar</t>
  </si>
  <si>
    <t>Beneda</t>
  </si>
  <si>
    <t>Proč to klonování?</t>
  </si>
  <si>
    <t>Dvorak</t>
  </si>
  <si>
    <t>Felgr</t>
  </si>
  <si>
    <t>Kaška</t>
  </si>
  <si>
    <t>Kholová</t>
  </si>
  <si>
    <t>Motsnyi</t>
  </si>
  <si>
    <t>Pecqueur</t>
  </si>
  <si>
    <t>Rokos</t>
  </si>
  <si>
    <t>Rozová</t>
  </si>
  <si>
    <t>Škrle</t>
  </si>
  <si>
    <t>DoPrace nesmí být statická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</si>
</sst>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9" fontId="0" fillId="0" borderId="2" xfId="1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Font="1"/>
    <xf numFmtId="0" fontId="0" fillId="0" borderId="2" xfId="0" applyFont="1" applyBorder="1"/>
    <xf numFmtId="0" fontId="0" fillId="0" borderId="1" xfId="0" applyFont="1" applyBorder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List1!$D$1</c:f>
              <c:strCache>
                <c:ptCount val="1"/>
                <c:pt idx="0">
                  <c:v>Balcar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List1!$D$2:$D$31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5-4D3F-9166-D7AA48BE1105}"/>
            </c:ext>
          </c:extLst>
        </c:ser>
        <c:ser>
          <c:idx val="1"/>
          <c:order val="1"/>
          <c:tx>
            <c:strRef>
              <c:f>List1!$E$1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List1!$E$2:$E$31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5-4D3F-9166-D7AA48BE1105}"/>
            </c:ext>
          </c:extLst>
        </c:ser>
        <c:ser>
          <c:idx val="2"/>
          <c:order val="2"/>
          <c:tx>
            <c:strRef>
              <c:f>List1!$F$1</c:f>
              <c:strCache>
                <c:ptCount val="1"/>
                <c:pt idx="0">
                  <c:v>Beneda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List1!$F$2:$F$31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5-4D3F-9166-D7AA48BE1105}"/>
            </c:ext>
          </c:extLst>
        </c:ser>
        <c:ser>
          <c:idx val="3"/>
          <c:order val="3"/>
          <c:tx>
            <c:strRef>
              <c:f>List1!$G$1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List1!$G$2:$G$31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85-4D3F-9166-D7AA48BE1105}"/>
            </c:ext>
          </c:extLst>
        </c:ser>
        <c:ser>
          <c:idx val="4"/>
          <c:order val="4"/>
          <c:tx>
            <c:strRef>
              <c:f>List1!$H$1</c:f>
              <c:strCache>
                <c:ptCount val="1"/>
                <c:pt idx="0">
                  <c:v>Dvorak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List1!$H$2:$H$31</c:f>
              <c:numCache>
                <c:formatCode>General</c:formatCode>
                <c:ptCount val="30"/>
                <c:pt idx="0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85-4D3F-9166-D7AA48BE1105}"/>
            </c:ext>
          </c:extLst>
        </c:ser>
        <c:ser>
          <c:idx val="5"/>
          <c:order val="5"/>
          <c:tx>
            <c:strRef>
              <c:f>List1!$I$1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List1!$I$2:$I$31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85-4D3F-9166-D7AA48BE1105}"/>
            </c:ext>
          </c:extLst>
        </c:ser>
        <c:ser>
          <c:idx val="6"/>
          <c:order val="6"/>
          <c:tx>
            <c:strRef>
              <c:f>List1!$J$1</c:f>
              <c:strCache>
                <c:ptCount val="1"/>
                <c:pt idx="0">
                  <c:v>Felgr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List1!$J$2:$J$31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9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85-4D3F-9166-D7AA48BE1105}"/>
            </c:ext>
          </c:extLst>
        </c:ser>
        <c:ser>
          <c:idx val="7"/>
          <c:order val="7"/>
          <c:tx>
            <c:strRef>
              <c:f>List1!$K$1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List1!$K$2:$K$31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85-4D3F-9166-D7AA48BE1105}"/>
            </c:ext>
          </c:extLst>
        </c:ser>
        <c:ser>
          <c:idx val="8"/>
          <c:order val="8"/>
          <c:tx>
            <c:strRef>
              <c:f>List1!$L$1</c:f>
              <c:strCache>
                <c:ptCount val="1"/>
                <c:pt idx="0">
                  <c:v>Kaška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List1!$L$2:$L$31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5-4D3F-9166-D7AA48BE1105}"/>
            </c:ext>
          </c:extLst>
        </c:ser>
        <c:ser>
          <c:idx val="9"/>
          <c:order val="9"/>
          <c:tx>
            <c:strRef>
              <c:f>List1!$M$1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List1!$M$2:$M$31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85-4D3F-9166-D7AA48BE1105}"/>
            </c:ext>
          </c:extLst>
        </c:ser>
        <c:ser>
          <c:idx val="10"/>
          <c:order val="10"/>
          <c:tx>
            <c:strRef>
              <c:f>List1!$N$1</c:f>
              <c:strCache>
                <c:ptCount val="1"/>
                <c:pt idx="0">
                  <c:v>Kholová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List1!$N$2:$N$31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85-4D3F-9166-D7AA48BE1105}"/>
            </c:ext>
          </c:extLst>
        </c:ser>
        <c:ser>
          <c:idx val="11"/>
          <c:order val="11"/>
          <c:tx>
            <c:strRef>
              <c:f>List1!$O$1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List1!$O$2:$O$31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085-4D3F-9166-D7AA48BE1105}"/>
            </c:ext>
          </c:extLst>
        </c:ser>
        <c:ser>
          <c:idx val="12"/>
          <c:order val="12"/>
          <c:tx>
            <c:strRef>
              <c:f>List1!$P$1</c:f>
              <c:strCache>
                <c:ptCount val="1"/>
                <c:pt idx="0">
                  <c:v>Motsnyi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List1!$P$2:$P$31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85-4D3F-9166-D7AA48BE1105}"/>
            </c:ext>
          </c:extLst>
        </c:ser>
        <c:ser>
          <c:idx val="13"/>
          <c:order val="13"/>
          <c:tx>
            <c:strRef>
              <c:f>List1!$Q$1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List1!$Q$2:$Q$31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085-4D3F-9166-D7AA48BE1105}"/>
            </c:ext>
          </c:extLst>
        </c:ser>
        <c:ser>
          <c:idx val="14"/>
          <c:order val="14"/>
          <c:tx>
            <c:strRef>
              <c:f>List1!$R$1</c:f>
              <c:strCache>
                <c:ptCount val="1"/>
                <c:pt idx="0">
                  <c:v>Pecqueur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List1!$R$2:$R$31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85-4D3F-9166-D7AA48BE1105}"/>
            </c:ext>
          </c:extLst>
        </c:ser>
        <c:ser>
          <c:idx val="15"/>
          <c:order val="15"/>
          <c:tx>
            <c:strRef>
              <c:f>List1!$S$1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List1!$S$2:$S$31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085-4D3F-9166-D7AA48BE1105}"/>
            </c:ext>
          </c:extLst>
        </c:ser>
        <c:ser>
          <c:idx val="16"/>
          <c:order val="16"/>
          <c:tx>
            <c:strRef>
              <c:f>List1!$T$1</c:f>
              <c:strCache>
                <c:ptCount val="1"/>
                <c:pt idx="0">
                  <c:v>Rokos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List1!$T$2:$T$31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085-4D3F-9166-D7AA48BE1105}"/>
            </c:ext>
          </c:extLst>
        </c:ser>
        <c:ser>
          <c:idx val="17"/>
          <c:order val="17"/>
          <c:tx>
            <c:strRef>
              <c:f>List1!$U$1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List1!$U$2:$U$31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085-4D3F-9166-D7AA48BE1105}"/>
            </c:ext>
          </c:extLst>
        </c:ser>
        <c:ser>
          <c:idx val="18"/>
          <c:order val="18"/>
          <c:tx>
            <c:strRef>
              <c:f>List1!$V$1</c:f>
              <c:strCache>
                <c:ptCount val="1"/>
                <c:pt idx="0">
                  <c:v>Rozová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List1!$V$2:$V$31</c:f>
              <c:numCache>
                <c:formatCode>General</c:formatCode>
                <c:ptCount val="30"/>
                <c:pt idx="0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085-4D3F-9166-D7AA48BE1105}"/>
            </c:ext>
          </c:extLst>
        </c:ser>
        <c:ser>
          <c:idx val="19"/>
          <c:order val="19"/>
          <c:tx>
            <c:strRef>
              <c:f>List1!$W$1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List1!$W$2:$W$31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085-4D3F-9166-D7AA48BE1105}"/>
            </c:ext>
          </c:extLst>
        </c:ser>
        <c:ser>
          <c:idx val="20"/>
          <c:order val="20"/>
          <c:tx>
            <c:strRef>
              <c:f>List1!$X$1</c:f>
              <c:strCache>
                <c:ptCount val="1"/>
                <c:pt idx="0">
                  <c:v>Škrle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List1!$X$2:$X$31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085-4D3F-9166-D7AA48BE1105}"/>
            </c:ext>
          </c:extLst>
        </c:ser>
        <c:ser>
          <c:idx val="21"/>
          <c:order val="21"/>
          <c:tx>
            <c:strRef>
              <c:f>List1!$Y$1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List1!$Y$2:$Y$31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85-4D3F-9166-D7AA48BE1105}"/>
            </c:ext>
          </c:extLst>
        </c:ser>
        <c:ser>
          <c:idx val="22"/>
          <c:order val="22"/>
          <c:tx>
            <c:strRef>
              <c:f>List1!$Z$1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List1!$Z$2:$Z$31</c:f>
              <c:numCache>
                <c:formatCode>General</c:formatCode>
                <c:ptCount val="30"/>
                <c:pt idx="0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085-4D3F-9166-D7AA48BE1105}"/>
            </c:ext>
          </c:extLst>
        </c:ser>
        <c:ser>
          <c:idx val="23"/>
          <c:order val="23"/>
          <c:tx>
            <c:strRef>
              <c:f>List1!$AA$1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List1!$A$2:$C$31</c:f>
              <c:multiLvlStrCache>
                <c:ptCount val="30"/>
                <c:lvl>
                  <c:pt idx="0">
                    <c:v>Max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2</c:v>
                  </c:pt>
                  <c:pt idx="18">
                    <c:v>0</c:v>
                  </c:pt>
                  <c:pt idx="19">
                    <c:v>1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1</c:v>
                  </c:pt>
                  <c:pt idx="24">
                    <c:v>1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9">
                    <c:v>38</c:v>
                  </c:pt>
                </c:lvl>
                <c:lvl>
                  <c:pt idx="2">
                    <c:v>prop jmeno, pohlavi</c:v>
                  </c:pt>
                  <c:pt idx="3">
                    <c:v>prop pub get, prot set</c:v>
                  </c:pt>
                  <c:pt idx="4">
                    <c:v>konstruktor nastavi prop</c:v>
                  </c:pt>
                  <c:pt idx="5">
                    <c:v>tostring</c:v>
                  </c:pt>
                  <c:pt idx="6">
                    <c:v>tostring preklada enum</c:v>
                  </c:pt>
                  <c:pt idx="7">
                    <c:v>extends clovek</c:v>
                  </c:pt>
                  <c:pt idx="8">
                    <c:v>abstraktní</c:v>
                  </c:pt>
                  <c:pt idx="9">
                    <c:v>prop mzda, povolani</c:v>
                  </c:pt>
                  <c:pt idx="10">
                    <c:v>prop pub get, prot set</c:v>
                  </c:pt>
                  <c:pt idx="11">
                    <c:v>konstruktor vola bazovy</c:v>
                  </c:pt>
                  <c:pt idx="12">
                    <c:v>konstruktor uklada</c:v>
                  </c:pt>
                  <c:pt idx="13">
                    <c:v>abst pracuj</c:v>
                  </c:pt>
                  <c:pt idx="14">
                    <c:v>sealed</c:v>
                  </c:pt>
                  <c:pt idx="15">
                    <c:v>extends zamestnanec</c:v>
                  </c:pt>
                  <c:pt idx="16">
                    <c:v>konstruktor vola bazovy </c:v>
                  </c:pt>
                  <c:pt idx="17">
                    <c:v>Pracuj</c:v>
                  </c:pt>
                  <c:pt idx="18">
                    <c:v>sealed</c:v>
                  </c:pt>
                  <c:pt idx="19">
                    <c:v>extends zamestnanec</c:v>
                  </c:pt>
                  <c:pt idx="20">
                    <c:v>konstruktor vola bazovy </c:v>
                  </c:pt>
                  <c:pt idx="21">
                    <c:v>uklada hotel</c:v>
                  </c:pt>
                  <c:pt idx="22">
                    <c:v>Pracuj</c:v>
                  </c:pt>
                  <c:pt idx="23">
                    <c:v>pvt _zamestnanci</c:v>
                  </c:pt>
                  <c:pt idx="24">
                    <c:v>konstruktor uklada</c:v>
                  </c:pt>
                  <c:pt idx="25">
                    <c:v>DoPrace()</c:v>
                  </c:pt>
                  <c:pt idx="26">
                    <c:v>Popis</c:v>
                  </c:pt>
                  <c:pt idx="27">
                    <c:v>PrumernaMzda</c:v>
                  </c:pt>
                </c:lvl>
                <c:lvl>
                  <c:pt idx="1">
                    <c:v>Enumerace</c:v>
                  </c:pt>
                  <c:pt idx="2">
                    <c:v>Clovek</c:v>
                  </c:pt>
                  <c:pt idx="7">
                    <c:v>Zamestnanec</c:v>
                  </c:pt>
                  <c:pt idx="14">
                    <c:v>Ucetni</c:v>
                  </c:pt>
                  <c:pt idx="18">
                    <c:v>Kuchar</c:v>
                  </c:pt>
                  <c:pt idx="23">
                    <c:v>Skupina</c:v>
                  </c:pt>
                  <c:pt idx="28">
                    <c:v>Bonus</c:v>
                  </c:pt>
                </c:lvl>
              </c:multiLvlStrCache>
            </c:multiLvlStrRef>
          </c:cat>
          <c:val>
            <c:numRef>
              <c:f>List1!$AA$2:$AA$31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085-4D3F-9166-D7AA48BE1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363471"/>
        <c:axId val="590363887"/>
      </c:barChart>
      <c:catAx>
        <c:axId val="59036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90363887"/>
        <c:crosses val="autoZero"/>
        <c:auto val="1"/>
        <c:lblAlgn val="ctr"/>
        <c:lblOffset val="100"/>
        <c:noMultiLvlLbl val="0"/>
      </c:catAx>
      <c:valAx>
        <c:axId val="5903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9036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397C78-D367-4C4A-B5CD-9B347141E3A7}">
  <sheetPr/>
  <sheetViews>
    <sheetView zoomScale="131" workbookViewId="0" zoomToFit="1"/>
  </sheetViews>
  <pageMargins left="0.7" right="0.7" top="0.78740157499999996" bottom="0.78740157499999996" header="0.3" footer="0.3"/>
  <pageSetup paperSize="9" orientation="portrait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9679" cy="4804672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FF31123-02DC-4640-AF78-C1C5486962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0A9E-435B-4D70-80EB-FC120A955CEF}">
  <dimension ref="A1:AC34"/>
  <sheetViews>
    <sheetView tabSelected="1" zoomScaleNormal="100"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RowHeight="14.5" x14ac:dyDescent="0.35"/>
  <cols>
    <col min="2" max="2" width="36.08984375" bestFit="1" customWidth="1"/>
    <col min="4" max="4" width="10" bestFit="1" customWidth="1"/>
    <col min="6" max="6" width="12" bestFit="1" customWidth="1"/>
  </cols>
  <sheetData>
    <row r="1" spans="1:29" x14ac:dyDescent="0.35">
      <c r="D1" s="9" t="s">
        <v>30</v>
      </c>
      <c r="E1" s="10"/>
      <c r="F1" s="9" t="s">
        <v>31</v>
      </c>
      <c r="G1" s="10"/>
      <c r="H1" s="9" t="s">
        <v>33</v>
      </c>
      <c r="I1" s="10"/>
      <c r="J1" s="9" t="s">
        <v>34</v>
      </c>
      <c r="K1" s="10"/>
      <c r="L1" s="9" t="s">
        <v>35</v>
      </c>
      <c r="M1" s="10"/>
      <c r="N1" s="9" t="s">
        <v>36</v>
      </c>
      <c r="O1" s="10"/>
      <c r="P1" s="9" t="s">
        <v>37</v>
      </c>
      <c r="Q1" s="10"/>
      <c r="R1" s="9" t="s">
        <v>38</v>
      </c>
      <c r="S1" s="10"/>
      <c r="T1" s="9" t="s">
        <v>39</v>
      </c>
      <c r="U1" s="10"/>
      <c r="V1" s="9" t="s">
        <v>40</v>
      </c>
      <c r="W1" s="10"/>
      <c r="X1" s="9" t="s">
        <v>41</v>
      </c>
      <c r="Y1" s="10"/>
      <c r="Z1" s="9"/>
      <c r="AA1" s="10"/>
      <c r="AB1" s="9"/>
      <c r="AC1" s="10"/>
    </row>
    <row r="2" spans="1:29" x14ac:dyDescent="0.35">
      <c r="C2" s="1" t="s">
        <v>1</v>
      </c>
      <c r="D2" s="4" t="s">
        <v>3</v>
      </c>
      <c r="E2" s="2" t="s">
        <v>2</v>
      </c>
      <c r="F2" s="4" t="s">
        <v>3</v>
      </c>
      <c r="G2" s="2" t="s">
        <v>2</v>
      </c>
      <c r="H2" s="4" t="s">
        <v>3</v>
      </c>
      <c r="I2" s="2" t="s">
        <v>2</v>
      </c>
      <c r="J2" s="4" t="s">
        <v>3</v>
      </c>
      <c r="K2" s="2" t="s">
        <v>2</v>
      </c>
      <c r="L2" s="4" t="s">
        <v>3</v>
      </c>
      <c r="M2" s="2" t="s">
        <v>2</v>
      </c>
      <c r="N2" s="4" t="s">
        <v>3</v>
      </c>
      <c r="O2" s="2" t="s">
        <v>2</v>
      </c>
      <c r="P2" s="4" t="s">
        <v>3</v>
      </c>
      <c r="Q2" s="2" t="s">
        <v>2</v>
      </c>
      <c r="R2" s="4" t="s">
        <v>3</v>
      </c>
      <c r="S2" s="2" t="s">
        <v>2</v>
      </c>
      <c r="T2" s="4" t="s">
        <v>3</v>
      </c>
      <c r="U2" s="2" t="s">
        <v>2</v>
      </c>
      <c r="V2" s="4" t="s">
        <v>3</v>
      </c>
      <c r="W2" s="2" t="s">
        <v>2</v>
      </c>
      <c r="X2" s="4" t="s">
        <v>3</v>
      </c>
      <c r="Y2" s="2" t="s">
        <v>2</v>
      </c>
      <c r="Z2" s="4" t="s">
        <v>3</v>
      </c>
      <c r="AA2" s="2" t="s">
        <v>2</v>
      </c>
      <c r="AB2" s="4" t="s">
        <v>3</v>
      </c>
      <c r="AC2" s="2" t="s">
        <v>2</v>
      </c>
    </row>
    <row r="3" spans="1:29" x14ac:dyDescent="0.35">
      <c r="A3" t="s">
        <v>5</v>
      </c>
      <c r="C3">
        <v>2</v>
      </c>
      <c r="D3" s="5">
        <v>1</v>
      </c>
      <c r="E3" s="3">
        <f>D3*$C3</f>
        <v>2</v>
      </c>
      <c r="F3" s="5">
        <v>1</v>
      </c>
      <c r="G3" s="3">
        <f>F3*$C3</f>
        <v>2</v>
      </c>
      <c r="H3" s="5"/>
      <c r="I3" s="3">
        <f>H3*$C3</f>
        <v>0</v>
      </c>
      <c r="J3" s="5">
        <v>1</v>
      </c>
      <c r="K3" s="3">
        <f>J3*$C3</f>
        <v>2</v>
      </c>
      <c r="L3" s="5">
        <v>1</v>
      </c>
      <c r="M3" s="3">
        <f>L3*$C3</f>
        <v>2</v>
      </c>
      <c r="N3" s="5">
        <v>1</v>
      </c>
      <c r="O3" s="3">
        <f>N3*$C3</f>
        <v>2</v>
      </c>
      <c r="P3" s="5">
        <v>1</v>
      </c>
      <c r="Q3" s="3">
        <f>P3*$C3</f>
        <v>2</v>
      </c>
      <c r="R3" s="5">
        <v>1</v>
      </c>
      <c r="S3" s="3">
        <f>R3*$C3</f>
        <v>2</v>
      </c>
      <c r="T3" s="5">
        <v>1</v>
      </c>
      <c r="U3" s="3">
        <f>T3*$C3</f>
        <v>2</v>
      </c>
      <c r="V3" s="5"/>
      <c r="W3" s="3">
        <f>V3*$C3</f>
        <v>0</v>
      </c>
      <c r="X3" s="5">
        <v>1</v>
      </c>
      <c r="Y3" s="3">
        <f>X3*$C3</f>
        <v>2</v>
      </c>
      <c r="Z3" s="5"/>
      <c r="AA3" s="3">
        <f>Z3*$C3</f>
        <v>0</v>
      </c>
      <c r="AB3" s="5"/>
      <c r="AC3" s="3">
        <f>AB3*$C3</f>
        <v>0</v>
      </c>
    </row>
    <row r="4" spans="1:29" x14ac:dyDescent="0.35">
      <c r="A4" t="s">
        <v>6</v>
      </c>
      <c r="B4" t="s">
        <v>7</v>
      </c>
      <c r="C4">
        <v>2</v>
      </c>
      <c r="D4" s="5">
        <v>1</v>
      </c>
      <c r="E4" s="3">
        <f t="shared" ref="E4:E29" si="0">D4*$C4</f>
        <v>2</v>
      </c>
      <c r="F4" s="5">
        <v>1</v>
      </c>
      <c r="G4" s="3">
        <f t="shared" ref="G4:G29" si="1">F4*$C4</f>
        <v>2</v>
      </c>
      <c r="H4" s="5"/>
      <c r="I4" s="3">
        <f t="shared" ref="I4:I29" si="2">H4*$C4</f>
        <v>0</v>
      </c>
      <c r="J4" s="5">
        <v>1</v>
      </c>
      <c r="K4" s="3">
        <f t="shared" ref="K4:K29" si="3">J4*$C4</f>
        <v>2</v>
      </c>
      <c r="L4" s="5">
        <v>1</v>
      </c>
      <c r="M4" s="3">
        <f t="shared" ref="M4:M29" si="4">L4*$C4</f>
        <v>2</v>
      </c>
      <c r="N4" s="5">
        <v>1</v>
      </c>
      <c r="O4" s="3">
        <f t="shared" ref="O4:O29" si="5">N4*$C4</f>
        <v>2</v>
      </c>
      <c r="P4" s="5">
        <v>1</v>
      </c>
      <c r="Q4" s="3">
        <f t="shared" ref="Q4:Q29" si="6">P4*$C4</f>
        <v>2</v>
      </c>
      <c r="R4" s="5">
        <v>1</v>
      </c>
      <c r="S4" s="3">
        <f t="shared" ref="S4:S29" si="7">R4*$C4</f>
        <v>2</v>
      </c>
      <c r="T4" s="5">
        <v>1</v>
      </c>
      <c r="U4" s="3">
        <f t="shared" ref="U4:U29" si="8">T4*$C4</f>
        <v>2</v>
      </c>
      <c r="V4" s="5"/>
      <c r="W4" s="3">
        <f t="shared" ref="W4:W29" si="9">V4*$C4</f>
        <v>0</v>
      </c>
      <c r="X4" s="5">
        <v>1</v>
      </c>
      <c r="Y4" s="3">
        <f t="shared" ref="Y4:Y29" si="10">X4*$C4</f>
        <v>2</v>
      </c>
      <c r="Z4" s="5"/>
      <c r="AA4" s="3">
        <f t="shared" ref="AA4:AA29" si="11">Z4*$C4</f>
        <v>0</v>
      </c>
      <c r="AB4" s="5"/>
      <c r="AC4" s="3">
        <f t="shared" ref="AC4:AC29" si="12">AB4*$C4</f>
        <v>0</v>
      </c>
    </row>
    <row r="5" spans="1:29" x14ac:dyDescent="0.35">
      <c r="B5" t="s">
        <v>8</v>
      </c>
      <c r="C5">
        <v>2</v>
      </c>
      <c r="D5" s="5">
        <v>1</v>
      </c>
      <c r="E5" s="3">
        <f t="shared" si="0"/>
        <v>2</v>
      </c>
      <c r="F5" s="5">
        <v>1</v>
      </c>
      <c r="G5" s="3">
        <f t="shared" si="1"/>
        <v>2</v>
      </c>
      <c r="H5" s="5"/>
      <c r="I5" s="3">
        <f t="shared" si="2"/>
        <v>0</v>
      </c>
      <c r="J5" s="5">
        <v>1</v>
      </c>
      <c r="K5" s="3">
        <f t="shared" si="3"/>
        <v>2</v>
      </c>
      <c r="L5" s="5">
        <v>1</v>
      </c>
      <c r="M5" s="3">
        <f t="shared" si="4"/>
        <v>2</v>
      </c>
      <c r="N5" s="5">
        <v>1</v>
      </c>
      <c r="O5" s="3">
        <f t="shared" si="5"/>
        <v>2</v>
      </c>
      <c r="P5" s="5">
        <v>1</v>
      </c>
      <c r="Q5" s="3">
        <f t="shared" si="6"/>
        <v>2</v>
      </c>
      <c r="R5" s="5">
        <v>1</v>
      </c>
      <c r="S5" s="3">
        <f t="shared" si="7"/>
        <v>2</v>
      </c>
      <c r="T5" s="5">
        <v>1</v>
      </c>
      <c r="U5" s="3">
        <f t="shared" si="8"/>
        <v>2</v>
      </c>
      <c r="V5" s="5"/>
      <c r="W5" s="3">
        <f t="shared" si="9"/>
        <v>0</v>
      </c>
      <c r="X5" s="5">
        <v>1</v>
      </c>
      <c r="Y5" s="3">
        <f t="shared" si="10"/>
        <v>2</v>
      </c>
      <c r="Z5" s="5"/>
      <c r="AA5" s="3">
        <f t="shared" si="11"/>
        <v>0</v>
      </c>
      <c r="AB5" s="5"/>
      <c r="AC5" s="3">
        <f t="shared" si="12"/>
        <v>0</v>
      </c>
    </row>
    <row r="6" spans="1:29" x14ac:dyDescent="0.35">
      <c r="B6" t="s">
        <v>9</v>
      </c>
      <c r="C6">
        <v>1</v>
      </c>
      <c r="D6" s="5">
        <v>1</v>
      </c>
      <c r="E6" s="3">
        <f t="shared" si="0"/>
        <v>1</v>
      </c>
      <c r="F6" s="5">
        <v>1</v>
      </c>
      <c r="G6" s="3">
        <f t="shared" si="1"/>
        <v>1</v>
      </c>
      <c r="H6" s="5"/>
      <c r="I6" s="3">
        <f t="shared" si="2"/>
        <v>0</v>
      </c>
      <c r="J6" s="5">
        <v>1</v>
      </c>
      <c r="K6" s="3">
        <f t="shared" si="3"/>
        <v>1</v>
      </c>
      <c r="L6" s="5">
        <v>1</v>
      </c>
      <c r="M6" s="3">
        <f t="shared" si="4"/>
        <v>1</v>
      </c>
      <c r="N6" s="5">
        <v>1</v>
      </c>
      <c r="O6" s="3">
        <f t="shared" si="5"/>
        <v>1</v>
      </c>
      <c r="P6" s="5">
        <v>1</v>
      </c>
      <c r="Q6" s="3">
        <f t="shared" si="6"/>
        <v>1</v>
      </c>
      <c r="R6" s="5">
        <v>1</v>
      </c>
      <c r="S6" s="3">
        <f t="shared" si="7"/>
        <v>1</v>
      </c>
      <c r="T6" s="5">
        <v>1</v>
      </c>
      <c r="U6" s="3">
        <f t="shared" si="8"/>
        <v>1</v>
      </c>
      <c r="V6" s="5"/>
      <c r="W6" s="3">
        <f t="shared" si="9"/>
        <v>0</v>
      </c>
      <c r="X6" s="5">
        <v>1</v>
      </c>
      <c r="Y6" s="3">
        <f t="shared" si="10"/>
        <v>1</v>
      </c>
      <c r="Z6" s="5"/>
      <c r="AA6" s="3">
        <f t="shared" si="11"/>
        <v>0</v>
      </c>
      <c r="AB6" s="5"/>
      <c r="AC6" s="3">
        <f t="shared" si="12"/>
        <v>0</v>
      </c>
    </row>
    <row r="7" spans="1:29" x14ac:dyDescent="0.35">
      <c r="B7" t="s">
        <v>10</v>
      </c>
      <c r="C7">
        <v>1</v>
      </c>
      <c r="D7" s="5">
        <v>1</v>
      </c>
      <c r="E7" s="3">
        <f t="shared" si="0"/>
        <v>1</v>
      </c>
      <c r="F7" s="5">
        <v>1</v>
      </c>
      <c r="G7" s="3">
        <f t="shared" si="1"/>
        <v>1</v>
      </c>
      <c r="H7" s="5"/>
      <c r="I7" s="3">
        <f t="shared" si="2"/>
        <v>0</v>
      </c>
      <c r="J7" s="5">
        <v>1</v>
      </c>
      <c r="K7" s="3">
        <f t="shared" si="3"/>
        <v>1</v>
      </c>
      <c r="L7" s="5">
        <v>1</v>
      </c>
      <c r="M7" s="3">
        <f t="shared" si="4"/>
        <v>1</v>
      </c>
      <c r="N7" s="5">
        <v>1</v>
      </c>
      <c r="O7" s="3">
        <f t="shared" si="5"/>
        <v>1</v>
      </c>
      <c r="P7" s="5">
        <v>1</v>
      </c>
      <c r="Q7" s="3">
        <f t="shared" si="6"/>
        <v>1</v>
      </c>
      <c r="R7" s="5">
        <v>1</v>
      </c>
      <c r="S7" s="3">
        <f t="shared" si="7"/>
        <v>1</v>
      </c>
      <c r="T7" s="5">
        <v>1</v>
      </c>
      <c r="U7" s="3">
        <f t="shared" si="8"/>
        <v>1</v>
      </c>
      <c r="V7" s="5"/>
      <c r="W7" s="3">
        <f t="shared" si="9"/>
        <v>0</v>
      </c>
      <c r="X7" s="5">
        <v>1</v>
      </c>
      <c r="Y7" s="3">
        <f t="shared" si="10"/>
        <v>1</v>
      </c>
      <c r="Z7" s="5"/>
      <c r="AA7" s="3">
        <f t="shared" si="11"/>
        <v>0</v>
      </c>
      <c r="AB7" s="5"/>
      <c r="AC7" s="3">
        <f t="shared" si="12"/>
        <v>0</v>
      </c>
    </row>
    <row r="8" spans="1:29" s="12" customFormat="1" x14ac:dyDescent="0.35">
      <c r="B8" s="12" t="s">
        <v>27</v>
      </c>
      <c r="C8" s="12">
        <v>1</v>
      </c>
      <c r="D8" s="13">
        <v>0</v>
      </c>
      <c r="E8" s="14">
        <f t="shared" si="0"/>
        <v>0</v>
      </c>
      <c r="F8" s="13">
        <v>1</v>
      </c>
      <c r="G8" s="14">
        <f t="shared" si="1"/>
        <v>1</v>
      </c>
      <c r="H8" s="13"/>
      <c r="I8" s="14">
        <f t="shared" si="2"/>
        <v>0</v>
      </c>
      <c r="J8" s="13">
        <v>0</v>
      </c>
      <c r="K8" s="14">
        <f t="shared" si="3"/>
        <v>0</v>
      </c>
      <c r="L8" s="13">
        <v>0</v>
      </c>
      <c r="M8" s="14">
        <f t="shared" si="4"/>
        <v>0</v>
      </c>
      <c r="N8" s="5">
        <v>0</v>
      </c>
      <c r="O8" s="14">
        <f t="shared" si="5"/>
        <v>0</v>
      </c>
      <c r="P8" s="5">
        <v>0</v>
      </c>
      <c r="Q8" s="14">
        <f t="shared" si="6"/>
        <v>0</v>
      </c>
      <c r="R8" s="5">
        <v>0</v>
      </c>
      <c r="S8" s="14">
        <f t="shared" si="7"/>
        <v>0</v>
      </c>
      <c r="T8" s="13">
        <v>0</v>
      </c>
      <c r="U8" s="14">
        <f t="shared" si="8"/>
        <v>0</v>
      </c>
      <c r="V8" s="13"/>
      <c r="W8" s="14">
        <f t="shared" si="9"/>
        <v>0</v>
      </c>
      <c r="X8" s="13">
        <v>0</v>
      </c>
      <c r="Y8" s="14">
        <f t="shared" si="10"/>
        <v>0</v>
      </c>
      <c r="Z8" s="13"/>
      <c r="AA8" s="14">
        <f t="shared" si="11"/>
        <v>0</v>
      </c>
      <c r="AB8" s="13"/>
      <c r="AC8" s="14">
        <f t="shared" si="12"/>
        <v>0</v>
      </c>
    </row>
    <row r="9" spans="1:29" x14ac:dyDescent="0.35">
      <c r="A9" t="s">
        <v>11</v>
      </c>
      <c r="B9" t="s">
        <v>12</v>
      </c>
      <c r="C9">
        <v>1</v>
      </c>
      <c r="D9" s="5">
        <v>1</v>
      </c>
      <c r="E9" s="3">
        <f t="shared" si="0"/>
        <v>1</v>
      </c>
      <c r="F9" s="5">
        <v>1</v>
      </c>
      <c r="G9" s="3">
        <f t="shared" si="1"/>
        <v>1</v>
      </c>
      <c r="H9" s="5"/>
      <c r="I9" s="3">
        <f t="shared" si="2"/>
        <v>0</v>
      </c>
      <c r="J9" s="5">
        <v>1</v>
      </c>
      <c r="K9" s="3">
        <f t="shared" si="3"/>
        <v>1</v>
      </c>
      <c r="L9" s="13">
        <v>1</v>
      </c>
      <c r="M9" s="3">
        <f t="shared" si="4"/>
        <v>1</v>
      </c>
      <c r="N9" s="5">
        <v>1</v>
      </c>
      <c r="O9" s="3">
        <f t="shared" si="5"/>
        <v>1</v>
      </c>
      <c r="P9" s="5">
        <v>1</v>
      </c>
      <c r="Q9" s="3">
        <f t="shared" si="6"/>
        <v>1</v>
      </c>
      <c r="R9" s="5">
        <v>1</v>
      </c>
      <c r="S9" s="3">
        <f t="shared" si="7"/>
        <v>1</v>
      </c>
      <c r="T9" s="5">
        <v>1</v>
      </c>
      <c r="U9" s="3">
        <f t="shared" si="8"/>
        <v>1</v>
      </c>
      <c r="V9" s="5"/>
      <c r="W9" s="3">
        <f t="shared" si="9"/>
        <v>0</v>
      </c>
      <c r="X9" s="5">
        <v>1</v>
      </c>
      <c r="Y9" s="3">
        <f t="shared" si="10"/>
        <v>1</v>
      </c>
      <c r="Z9" s="5"/>
      <c r="AA9" s="3">
        <f t="shared" si="11"/>
        <v>0</v>
      </c>
      <c r="AB9" s="5"/>
      <c r="AC9" s="3">
        <f t="shared" si="12"/>
        <v>0</v>
      </c>
    </row>
    <row r="10" spans="1:29" x14ac:dyDescent="0.35">
      <c r="B10" t="s">
        <v>29</v>
      </c>
      <c r="C10">
        <v>1</v>
      </c>
      <c r="D10" s="5">
        <v>1</v>
      </c>
      <c r="E10" s="3">
        <f t="shared" ref="E10" si="13">D10*$C10</f>
        <v>1</v>
      </c>
      <c r="F10" s="5">
        <v>1</v>
      </c>
      <c r="G10" s="3">
        <f t="shared" ref="G10" si="14">F10*$C10</f>
        <v>1</v>
      </c>
      <c r="H10" s="5"/>
      <c r="I10" s="3">
        <f t="shared" ref="I10" si="15">H10*$C10</f>
        <v>0</v>
      </c>
      <c r="J10" s="5">
        <v>1</v>
      </c>
      <c r="K10" s="3">
        <f t="shared" ref="K10" si="16">J10*$C10</f>
        <v>1</v>
      </c>
      <c r="L10" s="13">
        <v>1</v>
      </c>
      <c r="M10" s="3">
        <f t="shared" ref="M10" si="17">L10*$C10</f>
        <v>1</v>
      </c>
      <c r="N10" s="5">
        <v>1</v>
      </c>
      <c r="O10" s="3">
        <f t="shared" ref="O10" si="18">N10*$C10</f>
        <v>1</v>
      </c>
      <c r="P10" s="5">
        <v>1</v>
      </c>
      <c r="Q10" s="3">
        <f t="shared" ref="Q10" si="19">P10*$C10</f>
        <v>1</v>
      </c>
      <c r="R10" s="5">
        <v>1</v>
      </c>
      <c r="S10" s="3">
        <f t="shared" ref="S10" si="20">R10*$C10</f>
        <v>1</v>
      </c>
      <c r="T10" s="5">
        <v>1</v>
      </c>
      <c r="U10" s="3">
        <f t="shared" ref="U10" si="21">T10*$C10</f>
        <v>1</v>
      </c>
      <c r="V10" s="5"/>
      <c r="W10" s="3">
        <f t="shared" ref="W10" si="22">V10*$C10</f>
        <v>0</v>
      </c>
      <c r="X10" s="5">
        <v>1</v>
      </c>
      <c r="Y10" s="3">
        <f t="shared" ref="Y10" si="23">X10*$C10</f>
        <v>1</v>
      </c>
      <c r="Z10" s="5"/>
      <c r="AA10" s="3">
        <f t="shared" ref="AA10" si="24">Z10*$C10</f>
        <v>0</v>
      </c>
      <c r="AB10" s="5"/>
      <c r="AC10" s="3">
        <f t="shared" si="12"/>
        <v>0</v>
      </c>
    </row>
    <row r="11" spans="1:29" x14ac:dyDescent="0.35">
      <c r="B11" t="s">
        <v>13</v>
      </c>
      <c r="C11">
        <v>1</v>
      </c>
      <c r="D11" s="5">
        <v>1</v>
      </c>
      <c r="E11" s="3">
        <f t="shared" si="0"/>
        <v>1</v>
      </c>
      <c r="F11" s="5">
        <v>1</v>
      </c>
      <c r="G11" s="3">
        <f t="shared" si="1"/>
        <v>1</v>
      </c>
      <c r="H11" s="5"/>
      <c r="I11" s="3">
        <f t="shared" si="2"/>
        <v>0</v>
      </c>
      <c r="J11" s="5">
        <v>1</v>
      </c>
      <c r="K11" s="3">
        <f t="shared" si="3"/>
        <v>1</v>
      </c>
      <c r="L11" s="13">
        <v>1</v>
      </c>
      <c r="M11" s="3">
        <f t="shared" si="4"/>
        <v>1</v>
      </c>
      <c r="N11" s="5">
        <v>1</v>
      </c>
      <c r="O11" s="3">
        <f t="shared" si="5"/>
        <v>1</v>
      </c>
      <c r="P11" s="5">
        <v>1</v>
      </c>
      <c r="Q11" s="3">
        <f t="shared" si="6"/>
        <v>1</v>
      </c>
      <c r="R11" s="5">
        <v>1</v>
      </c>
      <c r="S11" s="3">
        <f t="shared" si="7"/>
        <v>1</v>
      </c>
      <c r="T11" s="5">
        <v>1</v>
      </c>
      <c r="U11" s="3">
        <f t="shared" si="8"/>
        <v>1</v>
      </c>
      <c r="V11" s="5"/>
      <c r="W11" s="3">
        <f t="shared" si="9"/>
        <v>0</v>
      </c>
      <c r="X11" s="5">
        <v>1</v>
      </c>
      <c r="Y11" s="3">
        <f t="shared" si="10"/>
        <v>1</v>
      </c>
      <c r="Z11" s="5"/>
      <c r="AA11" s="3">
        <f t="shared" si="11"/>
        <v>0</v>
      </c>
      <c r="AB11" s="5"/>
      <c r="AC11" s="3">
        <f t="shared" si="12"/>
        <v>0</v>
      </c>
    </row>
    <row r="12" spans="1:29" x14ac:dyDescent="0.35">
      <c r="B12" t="s">
        <v>8</v>
      </c>
      <c r="C12">
        <v>1</v>
      </c>
      <c r="D12" s="5">
        <v>1</v>
      </c>
      <c r="E12" s="3">
        <f t="shared" si="0"/>
        <v>1</v>
      </c>
      <c r="F12" s="5">
        <v>1</v>
      </c>
      <c r="G12" s="3">
        <f t="shared" si="1"/>
        <v>1</v>
      </c>
      <c r="H12" s="5"/>
      <c r="I12" s="3">
        <f t="shared" si="2"/>
        <v>0</v>
      </c>
      <c r="J12" s="5">
        <v>1</v>
      </c>
      <c r="K12" s="3">
        <f t="shared" si="3"/>
        <v>1</v>
      </c>
      <c r="L12" s="13">
        <v>1</v>
      </c>
      <c r="M12" s="3">
        <f t="shared" si="4"/>
        <v>1</v>
      </c>
      <c r="N12" s="5">
        <v>1</v>
      </c>
      <c r="O12" s="3">
        <f t="shared" si="5"/>
        <v>1</v>
      </c>
      <c r="P12" s="5">
        <v>1</v>
      </c>
      <c r="Q12" s="3">
        <f t="shared" si="6"/>
        <v>1</v>
      </c>
      <c r="R12" s="5">
        <v>1</v>
      </c>
      <c r="S12" s="3">
        <f t="shared" si="7"/>
        <v>1</v>
      </c>
      <c r="T12" s="5">
        <v>1</v>
      </c>
      <c r="U12" s="3">
        <f t="shared" si="8"/>
        <v>1</v>
      </c>
      <c r="V12" s="5"/>
      <c r="W12" s="3">
        <f t="shared" si="9"/>
        <v>0</v>
      </c>
      <c r="X12" s="5">
        <v>1</v>
      </c>
      <c r="Y12" s="3">
        <f t="shared" si="10"/>
        <v>1</v>
      </c>
      <c r="Z12" s="5"/>
      <c r="AA12" s="3">
        <f t="shared" si="11"/>
        <v>0</v>
      </c>
      <c r="AB12" s="5"/>
      <c r="AC12" s="3">
        <f t="shared" si="12"/>
        <v>0</v>
      </c>
    </row>
    <row r="13" spans="1:29" x14ac:dyDescent="0.35">
      <c r="B13" t="s">
        <v>14</v>
      </c>
      <c r="C13">
        <v>1</v>
      </c>
      <c r="D13" s="5">
        <v>1</v>
      </c>
      <c r="E13" s="3">
        <f t="shared" si="0"/>
        <v>1</v>
      </c>
      <c r="F13" s="5">
        <v>1</v>
      </c>
      <c r="G13" s="3">
        <f t="shared" si="1"/>
        <v>1</v>
      </c>
      <c r="H13" s="5"/>
      <c r="I13" s="3">
        <f t="shared" si="2"/>
        <v>0</v>
      </c>
      <c r="J13" s="5">
        <v>0</v>
      </c>
      <c r="K13" s="3">
        <f t="shared" si="3"/>
        <v>0</v>
      </c>
      <c r="L13" s="13">
        <v>1</v>
      </c>
      <c r="M13" s="3">
        <f t="shared" si="4"/>
        <v>1</v>
      </c>
      <c r="N13" s="5">
        <v>1</v>
      </c>
      <c r="O13" s="3">
        <f t="shared" si="5"/>
        <v>1</v>
      </c>
      <c r="P13" s="5">
        <v>1</v>
      </c>
      <c r="Q13" s="3">
        <f t="shared" si="6"/>
        <v>1</v>
      </c>
      <c r="R13" s="5">
        <v>1</v>
      </c>
      <c r="S13" s="3">
        <f t="shared" si="7"/>
        <v>1</v>
      </c>
      <c r="T13" s="5">
        <v>1</v>
      </c>
      <c r="U13" s="3">
        <f t="shared" si="8"/>
        <v>1</v>
      </c>
      <c r="V13" s="5"/>
      <c r="W13" s="3">
        <f t="shared" si="9"/>
        <v>0</v>
      </c>
      <c r="X13" s="5">
        <v>1</v>
      </c>
      <c r="Y13" s="3">
        <f t="shared" si="10"/>
        <v>1</v>
      </c>
      <c r="Z13" s="5"/>
      <c r="AA13" s="3">
        <f t="shared" si="11"/>
        <v>0</v>
      </c>
      <c r="AB13" s="5"/>
      <c r="AC13" s="3">
        <f t="shared" si="12"/>
        <v>0</v>
      </c>
    </row>
    <row r="14" spans="1:29" x14ac:dyDescent="0.35">
      <c r="B14" t="s">
        <v>15</v>
      </c>
      <c r="C14">
        <v>1</v>
      </c>
      <c r="D14" s="5">
        <v>1</v>
      </c>
      <c r="E14" s="3">
        <f t="shared" si="0"/>
        <v>1</v>
      </c>
      <c r="F14" s="5">
        <v>1</v>
      </c>
      <c r="G14" s="3">
        <f t="shared" si="1"/>
        <v>1</v>
      </c>
      <c r="H14" s="5"/>
      <c r="I14" s="3">
        <f t="shared" si="2"/>
        <v>0</v>
      </c>
      <c r="J14" s="5">
        <v>0.5</v>
      </c>
      <c r="K14" s="3">
        <f t="shared" si="3"/>
        <v>0.5</v>
      </c>
      <c r="L14" s="13">
        <v>1</v>
      </c>
      <c r="M14" s="3">
        <f t="shared" si="4"/>
        <v>1</v>
      </c>
      <c r="N14" s="5">
        <v>1</v>
      </c>
      <c r="O14" s="3">
        <f t="shared" si="5"/>
        <v>1</v>
      </c>
      <c r="P14" s="5">
        <v>1</v>
      </c>
      <c r="Q14" s="3">
        <f t="shared" si="6"/>
        <v>1</v>
      </c>
      <c r="R14" s="5">
        <v>1</v>
      </c>
      <c r="S14" s="3">
        <f t="shared" si="7"/>
        <v>1</v>
      </c>
      <c r="T14" s="5">
        <v>1</v>
      </c>
      <c r="U14" s="3">
        <f t="shared" si="8"/>
        <v>1</v>
      </c>
      <c r="V14" s="5"/>
      <c r="W14" s="3">
        <f t="shared" si="9"/>
        <v>0</v>
      </c>
      <c r="X14" s="5">
        <v>0</v>
      </c>
      <c r="Y14" s="3">
        <f t="shared" si="10"/>
        <v>0</v>
      </c>
      <c r="Z14" s="5"/>
      <c r="AA14" s="3">
        <f t="shared" si="11"/>
        <v>0</v>
      </c>
      <c r="AB14" s="5"/>
      <c r="AC14" s="3">
        <f t="shared" si="12"/>
        <v>0</v>
      </c>
    </row>
    <row r="15" spans="1:29" x14ac:dyDescent="0.35">
      <c r="B15" t="s">
        <v>16</v>
      </c>
      <c r="C15">
        <v>1</v>
      </c>
      <c r="D15" s="5">
        <v>1</v>
      </c>
      <c r="E15" s="3">
        <f t="shared" si="0"/>
        <v>1</v>
      </c>
      <c r="F15" s="5">
        <v>1</v>
      </c>
      <c r="G15" s="3">
        <f t="shared" si="1"/>
        <v>1</v>
      </c>
      <c r="H15" s="5"/>
      <c r="I15" s="3">
        <f t="shared" si="2"/>
        <v>0</v>
      </c>
      <c r="J15" s="5">
        <v>1</v>
      </c>
      <c r="K15" s="3">
        <f t="shared" si="3"/>
        <v>1</v>
      </c>
      <c r="L15" s="13">
        <v>1</v>
      </c>
      <c r="M15" s="3">
        <f t="shared" si="4"/>
        <v>1</v>
      </c>
      <c r="N15" s="5">
        <v>1</v>
      </c>
      <c r="O15" s="3">
        <f t="shared" si="5"/>
        <v>1</v>
      </c>
      <c r="P15" s="5">
        <v>1</v>
      </c>
      <c r="Q15" s="3">
        <f t="shared" si="6"/>
        <v>1</v>
      </c>
      <c r="R15" s="5">
        <v>1</v>
      </c>
      <c r="S15" s="3">
        <f t="shared" si="7"/>
        <v>1</v>
      </c>
      <c r="T15" s="5">
        <v>1</v>
      </c>
      <c r="U15" s="3">
        <f t="shared" si="8"/>
        <v>1</v>
      </c>
      <c r="V15" s="5"/>
      <c r="W15" s="3">
        <f t="shared" si="9"/>
        <v>0</v>
      </c>
      <c r="X15" s="5">
        <v>1</v>
      </c>
      <c r="Y15" s="3">
        <f t="shared" si="10"/>
        <v>1</v>
      </c>
      <c r="Z15" s="5"/>
      <c r="AA15" s="3">
        <f t="shared" si="11"/>
        <v>0</v>
      </c>
      <c r="AB15" s="5"/>
      <c r="AC15" s="3">
        <f t="shared" si="12"/>
        <v>0</v>
      </c>
    </row>
    <row r="16" spans="1:29" x14ac:dyDescent="0.35">
      <c r="A16" t="s">
        <v>17</v>
      </c>
      <c r="B16" s="11" t="s">
        <v>0</v>
      </c>
      <c r="C16" s="11">
        <v>0</v>
      </c>
      <c r="D16" s="5"/>
      <c r="E16" s="3">
        <f t="shared" si="0"/>
        <v>0</v>
      </c>
      <c r="F16" s="5"/>
      <c r="G16" s="3">
        <f t="shared" si="1"/>
        <v>0</v>
      </c>
      <c r="H16" s="5"/>
      <c r="I16" s="3">
        <f t="shared" si="2"/>
        <v>0</v>
      </c>
      <c r="J16" s="5"/>
      <c r="K16" s="3">
        <f t="shared" si="3"/>
        <v>0</v>
      </c>
      <c r="L16" s="13">
        <v>1</v>
      </c>
      <c r="M16" s="3">
        <f t="shared" si="4"/>
        <v>0</v>
      </c>
      <c r="N16" s="5">
        <v>1</v>
      </c>
      <c r="O16" s="3">
        <f t="shared" si="5"/>
        <v>0</v>
      </c>
      <c r="P16" s="5">
        <v>1</v>
      </c>
      <c r="Q16" s="3">
        <f t="shared" si="6"/>
        <v>0</v>
      </c>
      <c r="R16" s="5">
        <v>1</v>
      </c>
      <c r="S16" s="3">
        <f t="shared" si="7"/>
        <v>0</v>
      </c>
      <c r="T16" s="5">
        <v>1</v>
      </c>
      <c r="U16" s="3">
        <f t="shared" si="8"/>
        <v>0</v>
      </c>
      <c r="V16" s="5"/>
      <c r="W16" s="3">
        <f t="shared" si="9"/>
        <v>0</v>
      </c>
      <c r="X16" s="5">
        <v>1</v>
      </c>
      <c r="Y16" s="3">
        <f t="shared" si="10"/>
        <v>0</v>
      </c>
      <c r="Z16" s="5"/>
      <c r="AA16" s="3">
        <f t="shared" si="11"/>
        <v>0</v>
      </c>
      <c r="AB16" s="5"/>
      <c r="AC16" s="3">
        <f t="shared" si="12"/>
        <v>0</v>
      </c>
    </row>
    <row r="17" spans="1:29" x14ac:dyDescent="0.35">
      <c r="B17" t="s">
        <v>18</v>
      </c>
      <c r="C17">
        <v>1</v>
      </c>
      <c r="D17" s="5">
        <v>1</v>
      </c>
      <c r="E17" s="3">
        <f t="shared" si="0"/>
        <v>1</v>
      </c>
      <c r="F17" s="5">
        <v>1</v>
      </c>
      <c r="G17" s="3">
        <f t="shared" si="1"/>
        <v>1</v>
      </c>
      <c r="H17" s="5"/>
      <c r="I17" s="3">
        <f t="shared" si="2"/>
        <v>0</v>
      </c>
      <c r="J17" s="5">
        <v>1</v>
      </c>
      <c r="K17" s="3">
        <f t="shared" si="3"/>
        <v>1</v>
      </c>
      <c r="L17" s="13">
        <v>1</v>
      </c>
      <c r="M17" s="3">
        <f t="shared" si="4"/>
        <v>1</v>
      </c>
      <c r="N17" s="5">
        <v>1</v>
      </c>
      <c r="O17" s="3">
        <f t="shared" si="5"/>
        <v>1</v>
      </c>
      <c r="P17" s="5">
        <v>1</v>
      </c>
      <c r="Q17" s="3">
        <f t="shared" si="6"/>
        <v>1</v>
      </c>
      <c r="R17" s="5">
        <v>1</v>
      </c>
      <c r="S17" s="3">
        <f t="shared" si="7"/>
        <v>1</v>
      </c>
      <c r="T17" s="5">
        <v>1</v>
      </c>
      <c r="U17" s="3">
        <f t="shared" si="8"/>
        <v>1</v>
      </c>
      <c r="V17" s="5"/>
      <c r="W17" s="3">
        <f t="shared" si="9"/>
        <v>0</v>
      </c>
      <c r="X17" s="5">
        <v>1</v>
      </c>
      <c r="Y17" s="3">
        <f t="shared" si="10"/>
        <v>1</v>
      </c>
      <c r="Z17" s="5"/>
      <c r="AA17" s="3">
        <f t="shared" si="11"/>
        <v>0</v>
      </c>
      <c r="AB17" s="5"/>
      <c r="AC17" s="3">
        <f t="shared" si="12"/>
        <v>0</v>
      </c>
    </row>
    <row r="18" spans="1:29" x14ac:dyDescent="0.35">
      <c r="B18" t="s">
        <v>19</v>
      </c>
      <c r="C18">
        <v>1</v>
      </c>
      <c r="D18" s="5">
        <v>1</v>
      </c>
      <c r="E18" s="3">
        <f t="shared" si="0"/>
        <v>1</v>
      </c>
      <c r="F18" s="5">
        <v>1</v>
      </c>
      <c r="G18" s="3">
        <f t="shared" si="1"/>
        <v>1</v>
      </c>
      <c r="H18" s="5"/>
      <c r="I18" s="3">
        <f t="shared" si="2"/>
        <v>0</v>
      </c>
      <c r="J18" s="5">
        <v>1</v>
      </c>
      <c r="K18" s="3">
        <f t="shared" si="3"/>
        <v>1</v>
      </c>
      <c r="L18" s="13">
        <v>1</v>
      </c>
      <c r="M18" s="3">
        <f t="shared" si="4"/>
        <v>1</v>
      </c>
      <c r="N18" s="5">
        <v>1</v>
      </c>
      <c r="O18" s="3">
        <f t="shared" si="5"/>
        <v>1</v>
      </c>
      <c r="P18" s="5">
        <v>1</v>
      </c>
      <c r="Q18" s="3">
        <f t="shared" si="6"/>
        <v>1</v>
      </c>
      <c r="R18" s="5">
        <v>1</v>
      </c>
      <c r="S18" s="3">
        <f t="shared" si="7"/>
        <v>1</v>
      </c>
      <c r="T18" s="5">
        <v>1</v>
      </c>
      <c r="U18" s="3">
        <f t="shared" si="8"/>
        <v>1</v>
      </c>
      <c r="V18" s="5"/>
      <c r="W18" s="3">
        <f t="shared" si="9"/>
        <v>0</v>
      </c>
      <c r="X18" s="5">
        <v>1</v>
      </c>
      <c r="Y18" s="3">
        <f t="shared" si="10"/>
        <v>1</v>
      </c>
      <c r="Z18" s="5"/>
      <c r="AA18" s="3">
        <f t="shared" si="11"/>
        <v>0</v>
      </c>
      <c r="AB18" s="5"/>
      <c r="AC18" s="3">
        <f t="shared" si="12"/>
        <v>0</v>
      </c>
    </row>
    <row r="19" spans="1:29" x14ac:dyDescent="0.35">
      <c r="B19" t="s">
        <v>20</v>
      </c>
      <c r="C19">
        <v>2</v>
      </c>
      <c r="D19" s="5">
        <v>1</v>
      </c>
      <c r="E19" s="3">
        <f t="shared" si="0"/>
        <v>2</v>
      </c>
      <c r="F19" s="5">
        <v>1</v>
      </c>
      <c r="G19" s="3">
        <f t="shared" si="1"/>
        <v>2</v>
      </c>
      <c r="H19" s="5"/>
      <c r="I19" s="3">
        <f t="shared" si="2"/>
        <v>0</v>
      </c>
      <c r="J19" s="5">
        <v>1</v>
      </c>
      <c r="K19" s="3">
        <f t="shared" si="3"/>
        <v>2</v>
      </c>
      <c r="L19" s="13">
        <v>1</v>
      </c>
      <c r="M19" s="3">
        <f t="shared" si="4"/>
        <v>2</v>
      </c>
      <c r="N19" s="5">
        <v>1</v>
      </c>
      <c r="O19" s="3">
        <f t="shared" si="5"/>
        <v>2</v>
      </c>
      <c r="P19" s="5">
        <v>1</v>
      </c>
      <c r="Q19" s="3">
        <f t="shared" si="6"/>
        <v>2</v>
      </c>
      <c r="R19" s="5">
        <v>1</v>
      </c>
      <c r="S19" s="3">
        <f t="shared" si="7"/>
        <v>2</v>
      </c>
      <c r="T19" s="5">
        <v>1</v>
      </c>
      <c r="U19" s="3">
        <f t="shared" si="8"/>
        <v>2</v>
      </c>
      <c r="V19" s="5"/>
      <c r="W19" s="3">
        <f t="shared" si="9"/>
        <v>0</v>
      </c>
      <c r="X19" s="5">
        <v>1</v>
      </c>
      <c r="Y19" s="3">
        <f t="shared" si="10"/>
        <v>2</v>
      </c>
      <c r="Z19" s="5"/>
      <c r="AA19" s="3">
        <f t="shared" si="11"/>
        <v>0</v>
      </c>
      <c r="AB19" s="5"/>
      <c r="AC19" s="3">
        <f t="shared" si="12"/>
        <v>0</v>
      </c>
    </row>
    <row r="20" spans="1:29" x14ac:dyDescent="0.35">
      <c r="A20" t="s">
        <v>21</v>
      </c>
      <c r="B20" s="11" t="s">
        <v>0</v>
      </c>
      <c r="C20" s="11">
        <v>0</v>
      </c>
      <c r="D20" s="5"/>
      <c r="E20" s="3">
        <f t="shared" si="0"/>
        <v>0</v>
      </c>
      <c r="F20" s="5"/>
      <c r="G20" s="3">
        <f t="shared" si="1"/>
        <v>0</v>
      </c>
      <c r="H20" s="5"/>
      <c r="I20" s="3">
        <f t="shared" si="2"/>
        <v>0</v>
      </c>
      <c r="J20" s="5"/>
      <c r="K20" s="3">
        <f t="shared" si="3"/>
        <v>0</v>
      </c>
      <c r="L20" s="13">
        <v>1</v>
      </c>
      <c r="M20" s="3">
        <f t="shared" si="4"/>
        <v>0</v>
      </c>
      <c r="N20" s="5">
        <v>1</v>
      </c>
      <c r="O20" s="3">
        <f t="shared" si="5"/>
        <v>0</v>
      </c>
      <c r="P20" s="5">
        <v>1</v>
      </c>
      <c r="Q20" s="3">
        <f t="shared" si="6"/>
        <v>0</v>
      </c>
      <c r="R20" s="5">
        <v>1</v>
      </c>
      <c r="S20" s="3">
        <f t="shared" si="7"/>
        <v>0</v>
      </c>
      <c r="T20" s="5">
        <v>1</v>
      </c>
      <c r="U20" s="3">
        <f t="shared" si="8"/>
        <v>0</v>
      </c>
      <c r="V20" s="5"/>
      <c r="W20" s="3">
        <f t="shared" si="9"/>
        <v>0</v>
      </c>
      <c r="X20" s="5"/>
      <c r="Y20" s="3">
        <f t="shared" si="10"/>
        <v>0</v>
      </c>
      <c r="Z20" s="5"/>
      <c r="AA20" s="3">
        <f t="shared" si="11"/>
        <v>0</v>
      </c>
      <c r="AB20" s="5"/>
      <c r="AC20" s="3">
        <f t="shared" si="12"/>
        <v>0</v>
      </c>
    </row>
    <row r="21" spans="1:29" x14ac:dyDescent="0.35">
      <c r="B21" t="s">
        <v>18</v>
      </c>
      <c r="C21">
        <v>1</v>
      </c>
      <c r="D21" s="5">
        <v>1</v>
      </c>
      <c r="E21" s="3">
        <f t="shared" si="0"/>
        <v>1</v>
      </c>
      <c r="F21" s="5">
        <v>1</v>
      </c>
      <c r="G21" s="3">
        <f t="shared" si="1"/>
        <v>1</v>
      </c>
      <c r="H21" s="5"/>
      <c r="I21" s="3">
        <f t="shared" si="2"/>
        <v>0</v>
      </c>
      <c r="J21" s="5">
        <v>1</v>
      </c>
      <c r="K21" s="3">
        <f t="shared" si="3"/>
        <v>1</v>
      </c>
      <c r="L21" s="13">
        <v>1</v>
      </c>
      <c r="M21" s="3">
        <f t="shared" si="4"/>
        <v>1</v>
      </c>
      <c r="N21" s="5">
        <v>1</v>
      </c>
      <c r="O21" s="3">
        <f t="shared" si="5"/>
        <v>1</v>
      </c>
      <c r="P21" s="5">
        <v>1</v>
      </c>
      <c r="Q21" s="3">
        <f t="shared" si="6"/>
        <v>1</v>
      </c>
      <c r="R21" s="5">
        <v>1</v>
      </c>
      <c r="S21" s="3">
        <f t="shared" si="7"/>
        <v>1</v>
      </c>
      <c r="T21" s="5">
        <v>1</v>
      </c>
      <c r="U21" s="3">
        <f t="shared" si="8"/>
        <v>1</v>
      </c>
      <c r="V21" s="5"/>
      <c r="W21" s="3">
        <f t="shared" si="9"/>
        <v>0</v>
      </c>
      <c r="X21" s="5">
        <v>1</v>
      </c>
      <c r="Y21" s="3">
        <f t="shared" si="10"/>
        <v>1</v>
      </c>
      <c r="Z21" s="5"/>
      <c r="AA21" s="3">
        <f t="shared" si="11"/>
        <v>0</v>
      </c>
      <c r="AB21" s="5"/>
      <c r="AC21" s="3">
        <f t="shared" si="12"/>
        <v>0</v>
      </c>
    </row>
    <row r="22" spans="1:29" x14ac:dyDescent="0.35">
      <c r="B22" t="s">
        <v>19</v>
      </c>
      <c r="C22">
        <v>2</v>
      </c>
      <c r="D22" s="5">
        <v>1</v>
      </c>
      <c r="E22" s="3">
        <f t="shared" si="0"/>
        <v>2</v>
      </c>
      <c r="F22" s="5">
        <v>1</v>
      </c>
      <c r="G22" s="3">
        <f t="shared" si="1"/>
        <v>2</v>
      </c>
      <c r="H22" s="5"/>
      <c r="I22" s="3">
        <f t="shared" si="2"/>
        <v>0</v>
      </c>
      <c r="J22" s="5">
        <v>0</v>
      </c>
      <c r="K22" s="3">
        <f t="shared" si="3"/>
        <v>0</v>
      </c>
      <c r="L22" s="13">
        <v>1</v>
      </c>
      <c r="M22" s="3">
        <f t="shared" si="4"/>
        <v>2</v>
      </c>
      <c r="N22" s="5">
        <v>1</v>
      </c>
      <c r="O22" s="3">
        <f t="shared" si="5"/>
        <v>2</v>
      </c>
      <c r="P22" s="5">
        <v>1</v>
      </c>
      <c r="Q22" s="3">
        <f t="shared" si="6"/>
        <v>2</v>
      </c>
      <c r="R22" s="5">
        <v>1</v>
      </c>
      <c r="S22" s="3">
        <f t="shared" si="7"/>
        <v>2</v>
      </c>
      <c r="T22" s="5">
        <v>1</v>
      </c>
      <c r="U22" s="3">
        <f t="shared" si="8"/>
        <v>2</v>
      </c>
      <c r="V22" s="5"/>
      <c r="W22" s="3">
        <f t="shared" si="9"/>
        <v>0</v>
      </c>
      <c r="X22" s="5">
        <v>1</v>
      </c>
      <c r="Y22" s="3">
        <f t="shared" si="10"/>
        <v>2</v>
      </c>
      <c r="Z22" s="5"/>
      <c r="AA22" s="3">
        <f t="shared" si="11"/>
        <v>0</v>
      </c>
      <c r="AB22" s="5"/>
      <c r="AC22" s="3">
        <f t="shared" si="12"/>
        <v>0</v>
      </c>
    </row>
    <row r="23" spans="1:29" x14ac:dyDescent="0.35">
      <c r="B23" t="s">
        <v>22</v>
      </c>
      <c r="C23">
        <v>2</v>
      </c>
      <c r="D23" s="5">
        <v>1</v>
      </c>
      <c r="E23" s="3">
        <f t="shared" si="0"/>
        <v>2</v>
      </c>
      <c r="F23" s="5">
        <v>1</v>
      </c>
      <c r="G23" s="3">
        <f t="shared" si="1"/>
        <v>2</v>
      </c>
      <c r="H23" s="5"/>
      <c r="I23" s="3">
        <f t="shared" si="2"/>
        <v>0</v>
      </c>
      <c r="J23" s="5">
        <v>0</v>
      </c>
      <c r="K23" s="3">
        <f t="shared" si="3"/>
        <v>0</v>
      </c>
      <c r="L23" s="13">
        <v>1</v>
      </c>
      <c r="M23" s="3">
        <f t="shared" si="4"/>
        <v>2</v>
      </c>
      <c r="N23" s="5">
        <v>1</v>
      </c>
      <c r="O23" s="3">
        <f t="shared" si="5"/>
        <v>2</v>
      </c>
      <c r="P23" s="5">
        <v>1</v>
      </c>
      <c r="Q23" s="3">
        <f t="shared" si="6"/>
        <v>2</v>
      </c>
      <c r="R23" s="5">
        <v>1</v>
      </c>
      <c r="S23" s="3">
        <f t="shared" si="7"/>
        <v>2</v>
      </c>
      <c r="T23" s="5">
        <v>1</v>
      </c>
      <c r="U23" s="3">
        <f t="shared" si="8"/>
        <v>2</v>
      </c>
      <c r="V23" s="5"/>
      <c r="W23" s="3">
        <f t="shared" si="9"/>
        <v>0</v>
      </c>
      <c r="X23" s="5">
        <v>0</v>
      </c>
      <c r="Y23" s="3">
        <f t="shared" si="10"/>
        <v>0</v>
      </c>
      <c r="Z23" s="5"/>
      <c r="AA23" s="3">
        <f t="shared" si="11"/>
        <v>0</v>
      </c>
      <c r="AB23" s="5"/>
      <c r="AC23" s="3">
        <f t="shared" si="12"/>
        <v>0</v>
      </c>
    </row>
    <row r="24" spans="1:29" x14ac:dyDescent="0.35">
      <c r="B24" t="s">
        <v>20</v>
      </c>
      <c r="C24">
        <v>2</v>
      </c>
      <c r="D24" s="5">
        <v>1</v>
      </c>
      <c r="E24" s="3">
        <f t="shared" si="0"/>
        <v>2</v>
      </c>
      <c r="F24" s="5">
        <v>1</v>
      </c>
      <c r="G24" s="3">
        <f t="shared" si="1"/>
        <v>2</v>
      </c>
      <c r="H24" s="5"/>
      <c r="I24" s="3">
        <f t="shared" si="2"/>
        <v>0</v>
      </c>
      <c r="J24" s="5">
        <v>0</v>
      </c>
      <c r="K24" s="3">
        <f t="shared" si="3"/>
        <v>0</v>
      </c>
      <c r="L24" s="13">
        <v>1</v>
      </c>
      <c r="M24" s="3">
        <f t="shared" si="4"/>
        <v>2</v>
      </c>
      <c r="N24" s="5">
        <v>1</v>
      </c>
      <c r="O24" s="3">
        <f t="shared" si="5"/>
        <v>2</v>
      </c>
      <c r="P24" s="5">
        <v>1</v>
      </c>
      <c r="Q24" s="3">
        <f t="shared" si="6"/>
        <v>2</v>
      </c>
      <c r="R24" s="5">
        <v>1</v>
      </c>
      <c r="S24" s="3">
        <f t="shared" si="7"/>
        <v>2</v>
      </c>
      <c r="T24" s="5">
        <v>1</v>
      </c>
      <c r="U24" s="3">
        <f t="shared" si="8"/>
        <v>2</v>
      </c>
      <c r="V24" s="5"/>
      <c r="W24" s="3">
        <f t="shared" si="9"/>
        <v>0</v>
      </c>
      <c r="X24" s="5">
        <v>1</v>
      </c>
      <c r="Y24" s="3">
        <f t="shared" si="10"/>
        <v>2</v>
      </c>
      <c r="Z24" s="5"/>
      <c r="AA24" s="3">
        <f t="shared" si="11"/>
        <v>0</v>
      </c>
      <c r="AB24" s="5"/>
      <c r="AC24" s="3">
        <f t="shared" si="12"/>
        <v>0</v>
      </c>
    </row>
    <row r="25" spans="1:29" x14ac:dyDescent="0.35">
      <c r="A25" t="s">
        <v>23</v>
      </c>
      <c r="B25" t="s">
        <v>24</v>
      </c>
      <c r="C25">
        <v>1</v>
      </c>
      <c r="D25" s="5">
        <v>1</v>
      </c>
      <c r="E25" s="3">
        <f t="shared" si="0"/>
        <v>1</v>
      </c>
      <c r="F25" s="5">
        <v>1</v>
      </c>
      <c r="G25" s="3">
        <f t="shared" si="1"/>
        <v>1</v>
      </c>
      <c r="H25" s="5"/>
      <c r="I25" s="3">
        <f t="shared" si="2"/>
        <v>0</v>
      </c>
      <c r="J25" s="5">
        <v>1</v>
      </c>
      <c r="K25" s="3">
        <f t="shared" si="3"/>
        <v>1</v>
      </c>
      <c r="L25" s="13">
        <v>1</v>
      </c>
      <c r="M25" s="3">
        <f t="shared" si="4"/>
        <v>1</v>
      </c>
      <c r="N25" s="5">
        <v>1</v>
      </c>
      <c r="O25" s="3">
        <f t="shared" si="5"/>
        <v>1</v>
      </c>
      <c r="P25" s="5">
        <v>1</v>
      </c>
      <c r="Q25" s="3">
        <f t="shared" si="6"/>
        <v>1</v>
      </c>
      <c r="R25" s="5">
        <v>1</v>
      </c>
      <c r="S25" s="3">
        <f t="shared" si="7"/>
        <v>1</v>
      </c>
      <c r="T25" s="5">
        <v>1</v>
      </c>
      <c r="U25" s="3">
        <f t="shared" si="8"/>
        <v>1</v>
      </c>
      <c r="V25" s="5"/>
      <c r="W25" s="3">
        <f t="shared" si="9"/>
        <v>0</v>
      </c>
      <c r="X25" s="5">
        <v>1</v>
      </c>
      <c r="Y25" s="3">
        <f t="shared" si="10"/>
        <v>1</v>
      </c>
      <c r="Z25" s="5"/>
      <c r="AA25" s="3">
        <f t="shared" si="11"/>
        <v>0</v>
      </c>
      <c r="AB25" s="5"/>
      <c r="AC25" s="3">
        <f t="shared" si="12"/>
        <v>0</v>
      </c>
    </row>
    <row r="26" spans="1:29" x14ac:dyDescent="0.35">
      <c r="B26" t="s">
        <v>15</v>
      </c>
      <c r="C26">
        <v>1</v>
      </c>
      <c r="D26" s="5">
        <v>1</v>
      </c>
      <c r="E26" s="3">
        <f t="shared" si="0"/>
        <v>1</v>
      </c>
      <c r="F26" s="5">
        <v>1</v>
      </c>
      <c r="G26" s="3">
        <f t="shared" si="1"/>
        <v>1</v>
      </c>
      <c r="H26" s="5"/>
      <c r="I26" s="3">
        <f t="shared" si="2"/>
        <v>0</v>
      </c>
      <c r="J26" s="5">
        <v>1</v>
      </c>
      <c r="K26" s="3">
        <f t="shared" si="3"/>
        <v>1</v>
      </c>
      <c r="L26" s="13">
        <v>1</v>
      </c>
      <c r="M26" s="3">
        <f t="shared" si="4"/>
        <v>1</v>
      </c>
      <c r="N26" s="5">
        <v>1</v>
      </c>
      <c r="O26" s="3">
        <f t="shared" si="5"/>
        <v>1</v>
      </c>
      <c r="P26" s="5">
        <v>1</v>
      </c>
      <c r="Q26" s="3">
        <f t="shared" si="6"/>
        <v>1</v>
      </c>
      <c r="R26" s="5">
        <v>1</v>
      </c>
      <c r="S26" s="3">
        <f t="shared" si="7"/>
        <v>1</v>
      </c>
      <c r="T26" s="5">
        <v>1</v>
      </c>
      <c r="U26" s="3">
        <f t="shared" si="8"/>
        <v>1</v>
      </c>
      <c r="V26" s="5"/>
      <c r="W26" s="3">
        <f t="shared" si="9"/>
        <v>0</v>
      </c>
      <c r="X26" s="5">
        <v>1</v>
      </c>
      <c r="Y26" s="3">
        <f t="shared" si="10"/>
        <v>1</v>
      </c>
      <c r="Z26" s="5"/>
      <c r="AA26" s="3">
        <f t="shared" si="11"/>
        <v>0</v>
      </c>
      <c r="AB26" s="5"/>
      <c r="AC26" s="3">
        <f t="shared" si="12"/>
        <v>0</v>
      </c>
    </row>
    <row r="27" spans="1:29" x14ac:dyDescent="0.35">
      <c r="B27" t="s">
        <v>25</v>
      </c>
      <c r="C27">
        <v>3</v>
      </c>
      <c r="D27" s="5">
        <v>1</v>
      </c>
      <c r="E27" s="3">
        <f t="shared" si="0"/>
        <v>3</v>
      </c>
      <c r="F27" s="5">
        <v>1</v>
      </c>
      <c r="G27" s="3">
        <f t="shared" si="1"/>
        <v>3</v>
      </c>
      <c r="H27" s="5"/>
      <c r="I27" s="3">
        <f t="shared" si="2"/>
        <v>0</v>
      </c>
      <c r="J27" s="5">
        <v>0</v>
      </c>
      <c r="K27" s="3">
        <f t="shared" si="3"/>
        <v>0</v>
      </c>
      <c r="L27" s="13">
        <v>1</v>
      </c>
      <c r="M27" s="3">
        <f t="shared" si="4"/>
        <v>3</v>
      </c>
      <c r="N27" s="5">
        <v>1</v>
      </c>
      <c r="O27" s="3">
        <f t="shared" si="5"/>
        <v>3</v>
      </c>
      <c r="P27" s="5">
        <v>1</v>
      </c>
      <c r="Q27" s="3">
        <f t="shared" si="6"/>
        <v>3</v>
      </c>
      <c r="R27" s="5">
        <v>1</v>
      </c>
      <c r="S27" s="3">
        <f t="shared" si="7"/>
        <v>3</v>
      </c>
      <c r="T27" s="5">
        <v>1</v>
      </c>
      <c r="U27" s="3">
        <f t="shared" si="8"/>
        <v>3</v>
      </c>
      <c r="V27" s="5"/>
      <c r="W27" s="3">
        <f t="shared" si="9"/>
        <v>0</v>
      </c>
      <c r="X27" s="5">
        <v>0</v>
      </c>
      <c r="Y27" s="3">
        <f t="shared" si="10"/>
        <v>0</v>
      </c>
      <c r="Z27" s="5"/>
      <c r="AA27" s="3">
        <f t="shared" si="11"/>
        <v>0</v>
      </c>
      <c r="AB27" s="5"/>
      <c r="AC27" s="3">
        <f t="shared" si="12"/>
        <v>0</v>
      </c>
    </row>
    <row r="28" spans="1:29" x14ac:dyDescent="0.35">
      <c r="B28" t="s">
        <v>26</v>
      </c>
      <c r="C28">
        <v>3</v>
      </c>
      <c r="D28" s="5">
        <v>1</v>
      </c>
      <c r="E28" s="3">
        <f t="shared" si="0"/>
        <v>3</v>
      </c>
      <c r="F28" s="5">
        <v>1</v>
      </c>
      <c r="G28" s="3">
        <f t="shared" si="1"/>
        <v>3</v>
      </c>
      <c r="H28" s="5"/>
      <c r="I28" s="3">
        <f t="shared" si="2"/>
        <v>0</v>
      </c>
      <c r="J28" s="5">
        <v>0</v>
      </c>
      <c r="K28" s="3">
        <f t="shared" si="3"/>
        <v>0</v>
      </c>
      <c r="L28" s="13">
        <v>1</v>
      </c>
      <c r="M28" s="3">
        <f t="shared" si="4"/>
        <v>3</v>
      </c>
      <c r="N28" s="5">
        <v>1</v>
      </c>
      <c r="O28" s="3">
        <f t="shared" si="5"/>
        <v>3</v>
      </c>
      <c r="P28" s="5">
        <v>1</v>
      </c>
      <c r="Q28" s="3">
        <f t="shared" si="6"/>
        <v>3</v>
      </c>
      <c r="R28" s="5">
        <v>1</v>
      </c>
      <c r="S28" s="3">
        <f t="shared" si="7"/>
        <v>3</v>
      </c>
      <c r="T28" s="5">
        <v>1</v>
      </c>
      <c r="U28" s="3">
        <f t="shared" si="8"/>
        <v>3</v>
      </c>
      <c r="V28" s="5"/>
      <c r="W28" s="3">
        <f t="shared" si="9"/>
        <v>0</v>
      </c>
      <c r="X28" s="5">
        <v>0</v>
      </c>
      <c r="Y28" s="3">
        <f t="shared" si="10"/>
        <v>0</v>
      </c>
      <c r="Z28" s="5"/>
      <c r="AA28" s="3">
        <f t="shared" si="11"/>
        <v>0</v>
      </c>
      <c r="AB28" s="5"/>
      <c r="AC28" s="3">
        <f t="shared" si="12"/>
        <v>0</v>
      </c>
    </row>
    <row r="29" spans="1:29" x14ac:dyDescent="0.35">
      <c r="B29" t="s">
        <v>28</v>
      </c>
      <c r="C29">
        <v>3</v>
      </c>
      <c r="D29" s="5">
        <v>1</v>
      </c>
      <c r="E29" s="3">
        <f t="shared" si="0"/>
        <v>3</v>
      </c>
      <c r="F29" s="5">
        <v>1</v>
      </c>
      <c r="G29" s="3">
        <f t="shared" si="1"/>
        <v>3</v>
      </c>
      <c r="H29" s="5"/>
      <c r="I29" s="3">
        <f t="shared" si="2"/>
        <v>0</v>
      </c>
      <c r="J29" s="5">
        <v>1</v>
      </c>
      <c r="K29" s="3">
        <f t="shared" si="3"/>
        <v>3</v>
      </c>
      <c r="L29" s="13">
        <v>1</v>
      </c>
      <c r="M29" s="3">
        <f t="shared" si="4"/>
        <v>3</v>
      </c>
      <c r="N29" s="5">
        <v>1</v>
      </c>
      <c r="O29" s="3">
        <f t="shared" si="5"/>
        <v>3</v>
      </c>
      <c r="P29" s="5">
        <v>1</v>
      </c>
      <c r="Q29" s="3">
        <f t="shared" si="6"/>
        <v>3</v>
      </c>
      <c r="R29" s="5">
        <v>1</v>
      </c>
      <c r="S29" s="3">
        <f t="shared" si="7"/>
        <v>3</v>
      </c>
      <c r="T29" s="5">
        <v>1</v>
      </c>
      <c r="U29" s="3">
        <f t="shared" si="8"/>
        <v>3</v>
      </c>
      <c r="V29" s="5"/>
      <c r="W29" s="3">
        <f t="shared" si="9"/>
        <v>0</v>
      </c>
      <c r="X29" s="5">
        <v>0</v>
      </c>
      <c r="Y29" s="3">
        <f t="shared" si="10"/>
        <v>0</v>
      </c>
      <c r="Z29" s="5"/>
      <c r="AA29" s="3">
        <f t="shared" si="11"/>
        <v>0</v>
      </c>
      <c r="AB29" s="5"/>
      <c r="AC29" s="3">
        <f t="shared" si="12"/>
        <v>0</v>
      </c>
    </row>
    <row r="30" spans="1:29" x14ac:dyDescent="0.35">
      <c r="A30" t="s">
        <v>4</v>
      </c>
      <c r="D30" s="5"/>
      <c r="E30" s="3"/>
      <c r="F30" s="5"/>
      <c r="G30" s="3"/>
      <c r="H30" s="5"/>
      <c r="I30" s="3"/>
      <c r="J30" s="5"/>
      <c r="K30" s="3"/>
      <c r="L30" s="13"/>
      <c r="M30" s="3"/>
      <c r="N30" s="5">
        <v>1</v>
      </c>
      <c r="O30" s="3"/>
      <c r="P30" s="5"/>
      <c r="Q30" s="3"/>
      <c r="R30" s="5"/>
      <c r="S30" s="3"/>
      <c r="T30" s="5"/>
      <c r="U30" s="3"/>
      <c r="V30" s="5"/>
      <c r="W30" s="3"/>
      <c r="X30" s="5"/>
      <c r="Y30" s="3"/>
      <c r="Z30" s="5"/>
      <c r="AA30" s="3"/>
      <c r="AB30" s="5"/>
      <c r="AC30" s="3"/>
    </row>
    <row r="31" spans="1:29" x14ac:dyDescent="0.35">
      <c r="C31" s="1">
        <f>SUM(C3:C29)</f>
        <v>38</v>
      </c>
      <c r="D31" s="7">
        <f>SUM(E3:E30)</f>
        <v>37</v>
      </c>
      <c r="E31" s="8"/>
      <c r="F31" s="7">
        <f>SUM(G3:G30)</f>
        <v>38</v>
      </c>
      <c r="G31" s="8"/>
      <c r="H31" s="7">
        <f>SUM(I3:I30)</f>
        <v>0</v>
      </c>
      <c r="I31" s="8"/>
      <c r="J31" s="7">
        <f>SUM(K3:K30)</f>
        <v>23.5</v>
      </c>
      <c r="K31" s="8"/>
      <c r="L31" s="7">
        <f>SUM(M3:M30)</f>
        <v>37</v>
      </c>
      <c r="M31" s="8"/>
      <c r="N31" s="7">
        <f>SUM(O3:O30)</f>
        <v>37</v>
      </c>
      <c r="O31" s="8"/>
      <c r="P31" s="7">
        <f>SUM(Q3:Q30)</f>
        <v>37</v>
      </c>
      <c r="Q31" s="8"/>
      <c r="R31" s="7">
        <f>SUM(S3:S30)</f>
        <v>37</v>
      </c>
      <c r="S31" s="8"/>
      <c r="T31" s="7">
        <f>SUM(U3:U30)</f>
        <v>37</v>
      </c>
      <c r="U31" s="8"/>
      <c r="V31" s="7">
        <f>SUM(W3:W30)</f>
        <v>0</v>
      </c>
      <c r="W31" s="8"/>
      <c r="X31" s="7">
        <f>SUM(Y3:Y30)</f>
        <v>25</v>
      </c>
      <c r="Y31" s="8"/>
      <c r="Z31" s="7">
        <f>SUM(AA3:AA30)</f>
        <v>0</v>
      </c>
      <c r="AA31" s="8"/>
      <c r="AB31" s="7">
        <f>SUM(AC3:AC30)</f>
        <v>0</v>
      </c>
      <c r="AC31" s="8"/>
    </row>
    <row r="32" spans="1:29" x14ac:dyDescent="0.35">
      <c r="D32" s="5"/>
      <c r="E32" s="3"/>
      <c r="F32" s="5"/>
      <c r="G32" s="3"/>
      <c r="H32" s="5"/>
      <c r="I32" s="3"/>
      <c r="J32" s="5"/>
      <c r="K32" s="3"/>
      <c r="L32" s="5"/>
      <c r="M32" s="3"/>
      <c r="N32" s="5"/>
      <c r="O32" s="3"/>
      <c r="P32" s="5"/>
      <c r="Q32" s="3"/>
      <c r="R32" s="5"/>
      <c r="S32" s="3"/>
      <c r="T32" s="5"/>
      <c r="U32" s="3"/>
      <c r="V32" s="5"/>
      <c r="W32" s="3"/>
      <c r="X32" s="5"/>
      <c r="Y32" s="3"/>
      <c r="Z32" s="5"/>
      <c r="AA32" s="3"/>
      <c r="AB32" s="5"/>
      <c r="AC32" s="3"/>
    </row>
    <row r="33" spans="2:29" x14ac:dyDescent="0.35">
      <c r="B33" t="s">
        <v>2</v>
      </c>
      <c r="C33">
        <v>15</v>
      </c>
      <c r="D33" s="6">
        <f>D31/$C$31</f>
        <v>0.97368421052631582</v>
      </c>
      <c r="E33" s="2">
        <f>D33*$C$33</f>
        <v>14.605263157894738</v>
      </c>
      <c r="F33" s="6">
        <f>F31/$C$31</f>
        <v>1</v>
      </c>
      <c r="G33" s="2">
        <f>F33*$C$33</f>
        <v>15</v>
      </c>
      <c r="H33" s="6">
        <f>H31/$C$31</f>
        <v>0</v>
      </c>
      <c r="I33" s="2">
        <f>H33*$C$33</f>
        <v>0</v>
      </c>
      <c r="J33" s="6">
        <f>J31/$C$31</f>
        <v>0.61842105263157898</v>
      </c>
      <c r="K33" s="2">
        <f>J33*$C$33</f>
        <v>9.276315789473685</v>
      </c>
      <c r="L33" s="6">
        <f>L31/$C$31</f>
        <v>0.97368421052631582</v>
      </c>
      <c r="M33" s="2">
        <f>L33*$C$33</f>
        <v>14.605263157894738</v>
      </c>
      <c r="N33" s="6">
        <f>N31/$C$31</f>
        <v>0.97368421052631582</v>
      </c>
      <c r="O33" s="2">
        <f>N33*$C$33</f>
        <v>14.605263157894738</v>
      </c>
      <c r="P33" s="6">
        <f>P31/$C$31</f>
        <v>0.97368421052631582</v>
      </c>
      <c r="Q33" s="2">
        <f>P33*$C$33</f>
        <v>14.605263157894738</v>
      </c>
      <c r="R33" s="6">
        <f>R31/$C$31</f>
        <v>0.97368421052631582</v>
      </c>
      <c r="S33" s="2">
        <f>R33*$C$33</f>
        <v>14.605263157894738</v>
      </c>
      <c r="T33" s="6">
        <f>T31/$C$31</f>
        <v>0.97368421052631582</v>
      </c>
      <c r="U33" s="2">
        <f>T33*$C$33</f>
        <v>14.605263157894738</v>
      </c>
      <c r="V33" s="6">
        <f>V31/$C$31</f>
        <v>0</v>
      </c>
      <c r="W33" s="2">
        <f>V33*$C$33</f>
        <v>0</v>
      </c>
      <c r="X33" s="6">
        <f>X31/$C$31</f>
        <v>0.65789473684210531</v>
      </c>
      <c r="Y33" s="2">
        <f>X33*$C$33</f>
        <v>9.8684210526315788</v>
      </c>
      <c r="Z33" s="6">
        <f>Z31/$C$31</f>
        <v>0</v>
      </c>
      <c r="AA33" s="2">
        <f>Z33*$C$33</f>
        <v>0</v>
      </c>
      <c r="AB33" s="6">
        <f>AB31/$C$31</f>
        <v>0</v>
      </c>
      <c r="AC33" s="2">
        <f>AB33*$C$33</f>
        <v>0</v>
      </c>
    </row>
    <row r="34" spans="2:29" x14ac:dyDescent="0.35">
      <c r="F34" t="s">
        <v>32</v>
      </c>
      <c r="X34" t="s">
        <v>42</v>
      </c>
    </row>
  </sheetData>
  <mergeCells count="26">
    <mergeCell ref="AB1:AC1"/>
    <mergeCell ref="AB31:AC31"/>
    <mergeCell ref="X31:Y31"/>
    <mergeCell ref="Z31:AA31"/>
    <mergeCell ref="X1:Y1"/>
    <mergeCell ref="Z1:AA1"/>
    <mergeCell ref="N1:O1"/>
    <mergeCell ref="P1:Q1"/>
    <mergeCell ref="R1:S1"/>
    <mergeCell ref="T1:U1"/>
    <mergeCell ref="V1:W1"/>
    <mergeCell ref="N31:O31"/>
    <mergeCell ref="P31:Q31"/>
    <mergeCell ref="R31:S31"/>
    <mergeCell ref="T31:U31"/>
    <mergeCell ref="V31:W31"/>
    <mergeCell ref="D1:E1"/>
    <mergeCell ref="F1:G1"/>
    <mergeCell ref="H1:I1"/>
    <mergeCell ref="J1:K1"/>
    <mergeCell ref="L1:M1"/>
    <mergeCell ref="D31:E31"/>
    <mergeCell ref="F31:G31"/>
    <mergeCell ref="H31:I31"/>
    <mergeCell ref="J31:K31"/>
    <mergeCell ref="L31:M3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Grafy</vt:lpstr>
      </vt:variant>
      <vt:variant>
        <vt:i4>1</vt:i4>
      </vt:variant>
    </vt:vector>
  </HeadingPairs>
  <TitlesOfParts>
    <vt:vector size="2" baseType="lpstr">
      <vt:lpstr>List1</vt:lpstr>
      <vt:lpstr>Graf1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KOUPIL Jan</dc:creator>
  <cp:lastModifiedBy>KOUPIL Jan</cp:lastModifiedBy>
  <dcterms:created xsi:type="dcterms:W3CDTF">2021-06-08T20:28:35Z</dcterms:created>
  <dcterms:modified xsi:type="dcterms:W3CDTF">2024-12-18T19:27:23Z</dcterms:modified>
</cp:coreProperties>
</file>